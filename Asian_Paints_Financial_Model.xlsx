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_Cleanup_Verify\"/>
    </mc:Choice>
  </mc:AlternateContent>
  <xr:revisionPtr revIDLastSave="0" documentId="13_ncr:1_{FA906405-FC61-42F8-BB84-E1642AB3D714}" xr6:coauthVersionLast="47" xr6:coauthVersionMax="47" xr10:uidLastSave="{00000000-0000-0000-0000-000000000000}"/>
  <bookViews>
    <workbookView xWindow="4848" yWindow="348" windowWidth="17280" windowHeight="9420" firstSheet="8" activeTab="11" xr2:uid="{00000000-000D-0000-FFFF-FFFF00000000}"/>
  </bookViews>
  <sheets>
    <sheet name="Cover" sheetId="1" r:id="rId1"/>
    <sheet name="Historical Data" sheetId="12" r:id="rId2"/>
    <sheet name="Ratio Analysis" sheetId="14" r:id="rId3"/>
    <sheet name="Assumptions" sheetId="5" r:id="rId4"/>
    <sheet name="Working Capital Schedule" sheetId="9" r:id="rId5"/>
    <sheet name="Dep &amp; Capex Schedule" sheetId="10" r:id="rId6"/>
    <sheet name="Debt Schedule" sheetId="11" r:id="rId7"/>
    <sheet name="Income Statement" sheetId="6" r:id="rId8"/>
    <sheet name="Balance Sheet" sheetId="7" r:id="rId9"/>
    <sheet name="Cash Flow" sheetId="8" r:id="rId10"/>
    <sheet name="Valuation" sheetId="15" r:id="rId11"/>
    <sheet name="Recommendation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14" l="1"/>
  <c r="L31" i="14"/>
  <c r="G33" i="14"/>
  <c r="G31" i="14"/>
  <c r="F33" i="14"/>
  <c r="F31" i="14"/>
  <c r="E33" i="14"/>
  <c r="E31" i="14"/>
  <c r="F82" i="15"/>
  <c r="G14" i="5"/>
  <c r="F14" i="5"/>
  <c r="E14" i="5"/>
  <c r="D14" i="5"/>
  <c r="C14" i="5"/>
  <c r="C5" i="16"/>
  <c r="C11" i="15"/>
  <c r="C71" i="15"/>
  <c r="C36" i="15"/>
  <c r="C29" i="15"/>
  <c r="D82" i="15" s="1"/>
  <c r="C5" i="15"/>
  <c r="G45" i="14"/>
  <c r="F45" i="14"/>
  <c r="E45" i="14"/>
  <c r="D45" i="14"/>
  <c r="C45" i="14"/>
  <c r="G41" i="14"/>
  <c r="F41" i="14"/>
  <c r="E41" i="14"/>
  <c r="D41" i="14"/>
  <c r="C41" i="14"/>
  <c r="G39" i="14"/>
  <c r="G43" i="14" s="1"/>
  <c r="F39" i="14"/>
  <c r="E39" i="14"/>
  <c r="D39" i="14"/>
  <c r="C39" i="14"/>
  <c r="G35" i="14"/>
  <c r="F35" i="14"/>
  <c r="E35" i="14"/>
  <c r="D35" i="14"/>
  <c r="C35" i="14"/>
  <c r="K33" i="14"/>
  <c r="J33" i="14"/>
  <c r="I33" i="14"/>
  <c r="H33" i="14"/>
  <c r="G32" i="14"/>
  <c r="F32" i="14"/>
  <c r="E32" i="14"/>
  <c r="D32" i="14"/>
  <c r="C32" i="14"/>
  <c r="K31" i="14"/>
  <c r="J31" i="14"/>
  <c r="I31" i="14"/>
  <c r="H31" i="14"/>
  <c r="G30" i="14"/>
  <c r="F30" i="14"/>
  <c r="E30" i="14"/>
  <c r="D30" i="14"/>
  <c r="C30" i="14"/>
  <c r="L29" i="14"/>
  <c r="L34" i="14" s="1"/>
  <c r="K29" i="14"/>
  <c r="J29" i="14"/>
  <c r="I29" i="14"/>
  <c r="H29" i="14"/>
  <c r="G29" i="14"/>
  <c r="F29" i="14"/>
  <c r="E29" i="14"/>
  <c r="D29" i="14"/>
  <c r="C29" i="14"/>
  <c r="G28" i="14"/>
  <c r="F28" i="14"/>
  <c r="E28" i="14"/>
  <c r="D28" i="14"/>
  <c r="C28" i="14"/>
  <c r="G23" i="14"/>
  <c r="F23" i="14"/>
  <c r="E23" i="14"/>
  <c r="D23" i="14"/>
  <c r="C23" i="14"/>
  <c r="G15" i="14"/>
  <c r="F15" i="14"/>
  <c r="E15" i="14"/>
  <c r="G7" i="14"/>
  <c r="F7" i="14"/>
  <c r="E7" i="14"/>
  <c r="G6" i="14"/>
  <c r="F6" i="14"/>
  <c r="E6" i="14"/>
  <c r="G5" i="14"/>
  <c r="F5" i="14"/>
  <c r="E5" i="14"/>
  <c r="D5" i="14"/>
  <c r="C5" i="14"/>
  <c r="C8" i="12"/>
  <c r="C9" i="12" s="1"/>
  <c r="C19" i="14" s="1"/>
  <c r="D8" i="12"/>
  <c r="D13" i="12" s="1"/>
  <c r="E8" i="12"/>
  <c r="E12" i="14" s="1"/>
  <c r="F8" i="12"/>
  <c r="F9" i="12" s="1"/>
  <c r="F19" i="14" s="1"/>
  <c r="G8" i="12"/>
  <c r="G12" i="14" s="1"/>
  <c r="C16" i="12"/>
  <c r="C20" i="14" s="1"/>
  <c r="D16" i="12"/>
  <c r="D20" i="14" s="1"/>
  <c r="E16" i="12"/>
  <c r="E20" i="14" s="1"/>
  <c r="F16" i="12"/>
  <c r="F20" i="14" s="1"/>
  <c r="G16" i="12"/>
  <c r="G20" i="14" s="1"/>
  <c r="D19" i="12"/>
  <c r="E19" i="12"/>
  <c r="F19" i="12"/>
  <c r="G19" i="12"/>
  <c r="C25" i="12"/>
  <c r="D25" i="12"/>
  <c r="E25" i="12"/>
  <c r="E11" i="14" s="1"/>
  <c r="F25" i="12"/>
  <c r="F28" i="12" s="1"/>
  <c r="G25" i="12"/>
  <c r="G28" i="12" s="1"/>
  <c r="C33" i="12"/>
  <c r="C27" i="14" s="1"/>
  <c r="D33" i="12"/>
  <c r="D27" i="14" s="1"/>
  <c r="E33" i="12"/>
  <c r="E27" i="14" s="1"/>
  <c r="F33" i="12"/>
  <c r="F27" i="14" s="1"/>
  <c r="G33" i="12"/>
  <c r="C41" i="12"/>
  <c r="D41" i="12"/>
  <c r="E41" i="12"/>
  <c r="F41" i="12"/>
  <c r="G41" i="12"/>
  <c r="C20" i="7"/>
  <c r="D9" i="11" s="1"/>
  <c r="C19" i="7"/>
  <c r="C8" i="11" s="1"/>
  <c r="E8" i="9"/>
  <c r="H17" i="11"/>
  <c r="G17" i="11"/>
  <c r="F17" i="11"/>
  <c r="E17" i="11"/>
  <c r="D17" i="11"/>
  <c r="H7" i="11"/>
  <c r="G7" i="11"/>
  <c r="F7" i="11"/>
  <c r="E7" i="11"/>
  <c r="D7" i="11"/>
  <c r="H8" i="10"/>
  <c r="G8" i="10"/>
  <c r="F8" i="10"/>
  <c r="E8" i="10"/>
  <c r="D8" i="10"/>
  <c r="H7" i="10"/>
  <c r="G7" i="10"/>
  <c r="F7" i="10"/>
  <c r="E7" i="10"/>
  <c r="D7" i="10"/>
  <c r="H10" i="9"/>
  <c r="G10" i="9"/>
  <c r="F10" i="9"/>
  <c r="E10" i="9"/>
  <c r="D10" i="9"/>
  <c r="H9" i="9"/>
  <c r="G9" i="9"/>
  <c r="F9" i="9"/>
  <c r="E9" i="9"/>
  <c r="D9" i="9"/>
  <c r="H8" i="9"/>
  <c r="G8" i="9"/>
  <c r="F8" i="9"/>
  <c r="D8" i="9"/>
  <c r="C22" i="8"/>
  <c r="H20" i="8"/>
  <c r="G20" i="8"/>
  <c r="F20" i="8"/>
  <c r="E20" i="8"/>
  <c r="D20" i="8"/>
  <c r="C20" i="8"/>
  <c r="C21" i="8" s="1"/>
  <c r="C16" i="8"/>
  <c r="C14" i="8"/>
  <c r="C15" i="8" s="1"/>
  <c r="C10" i="8"/>
  <c r="C7" i="8"/>
  <c r="C6" i="8"/>
  <c r="C21" i="7"/>
  <c r="C22" i="7" s="1"/>
  <c r="C17" i="7"/>
  <c r="C16" i="7"/>
  <c r="D16" i="7" s="1"/>
  <c r="C10" i="7"/>
  <c r="D27" i="8" s="1"/>
  <c r="C9" i="7"/>
  <c r="C14" i="9" s="1"/>
  <c r="C8" i="7"/>
  <c r="C15" i="9" s="1"/>
  <c r="C7" i="7"/>
  <c r="D7" i="7" s="1"/>
  <c r="C6" i="7"/>
  <c r="C15" i="10" s="1"/>
  <c r="C16" i="6"/>
  <c r="C17" i="6" s="1"/>
  <c r="C14" i="6"/>
  <c r="C11" i="6"/>
  <c r="C18" i="11" s="1"/>
  <c r="C10" i="6"/>
  <c r="C14" i="10" s="1"/>
  <c r="C9" i="6"/>
  <c r="C4" i="6"/>
  <c r="C34" i="5"/>
  <c r="C10" i="15" s="1"/>
  <c r="D4" i="6" l="1"/>
  <c r="D6" i="10" s="1"/>
  <c r="D22" i="7"/>
  <c r="E22" i="7" s="1"/>
  <c r="F22" i="7"/>
  <c r="G22" i="7" s="1"/>
  <c r="H22" i="7" s="1"/>
  <c r="D9" i="6"/>
  <c r="G11" i="14"/>
  <c r="G21" i="14"/>
  <c r="G14" i="14"/>
  <c r="K34" i="14"/>
  <c r="J34" i="14"/>
  <c r="D40" i="14"/>
  <c r="G27" i="14"/>
  <c r="F40" i="14"/>
  <c r="C33" i="15"/>
  <c r="D14" i="14"/>
  <c r="C14" i="14"/>
  <c r="G44" i="14"/>
  <c r="E14" i="14"/>
  <c r="F14" i="14"/>
  <c r="F11" i="14"/>
  <c r="E40" i="14"/>
  <c r="C6" i="15"/>
  <c r="F21" i="14"/>
  <c r="E9" i="12"/>
  <c r="E19" i="14" s="1"/>
  <c r="G34" i="14"/>
  <c r="E42" i="14"/>
  <c r="G40" i="14"/>
  <c r="E28" i="12"/>
  <c r="E34" i="12" s="1"/>
  <c r="H34" i="14"/>
  <c r="F42" i="14"/>
  <c r="E21" i="14"/>
  <c r="E34" i="14"/>
  <c r="F34" i="14"/>
  <c r="D9" i="12"/>
  <c r="D19" i="14" s="1"/>
  <c r="I34" i="14"/>
  <c r="G42" i="14"/>
  <c r="D13" i="14"/>
  <c r="D22" i="14"/>
  <c r="D42" i="14"/>
  <c r="D11" i="14"/>
  <c r="C21" i="14"/>
  <c r="C42" i="14"/>
  <c r="D21" i="14"/>
  <c r="D28" i="12"/>
  <c r="D34" i="12" s="1"/>
  <c r="D12" i="14"/>
  <c r="C12" i="14"/>
  <c r="F13" i="12"/>
  <c r="G34" i="12"/>
  <c r="E13" i="12"/>
  <c r="C11" i="14"/>
  <c r="G13" i="12"/>
  <c r="C28" i="12"/>
  <c r="C34" i="12" s="1"/>
  <c r="F34" i="12"/>
  <c r="F12" i="14"/>
  <c r="G9" i="12"/>
  <c r="G19" i="14" s="1"/>
  <c r="C13" i="12"/>
  <c r="D6" i="9"/>
  <c r="C29" i="8"/>
  <c r="C11" i="11"/>
  <c r="C12" i="11" s="1"/>
  <c r="D13" i="10"/>
  <c r="C21" i="15" s="1"/>
  <c r="D6" i="11"/>
  <c r="D18" i="11" s="1"/>
  <c r="D11" i="11"/>
  <c r="D14" i="8"/>
  <c r="D16" i="8" s="1"/>
  <c r="C16" i="9"/>
  <c r="C6" i="9"/>
  <c r="C8" i="9" s="1"/>
  <c r="C6" i="10"/>
  <c r="C11" i="7"/>
  <c r="D11" i="7" s="1"/>
  <c r="D12" i="10"/>
  <c r="C13" i="10"/>
  <c r="C18" i="7"/>
  <c r="C23" i="7" s="1"/>
  <c r="H16" i="7"/>
  <c r="C9" i="8"/>
  <c r="H7" i="7"/>
  <c r="E7" i="7"/>
  <c r="F7" i="7"/>
  <c r="G7" i="7"/>
  <c r="E16" i="7"/>
  <c r="F16" i="7"/>
  <c r="G16" i="7"/>
  <c r="D5" i="6"/>
  <c r="E4" i="6"/>
  <c r="D7" i="6"/>
  <c r="C16" i="15" s="1"/>
  <c r="C15" i="6"/>
  <c r="C26" i="8"/>
  <c r="C7" i="6"/>
  <c r="C17" i="9" l="1"/>
  <c r="C34" i="15"/>
  <c r="C7" i="15"/>
  <c r="C8" i="15" s="1"/>
  <c r="E13" i="14"/>
  <c r="E22" i="14"/>
  <c r="F13" i="14"/>
  <c r="F22" i="14"/>
  <c r="C22" i="14"/>
  <c r="C13" i="14"/>
  <c r="G22" i="14"/>
  <c r="G13" i="14"/>
  <c r="D14" i="9"/>
  <c r="D9" i="7" s="1"/>
  <c r="E9" i="11"/>
  <c r="E11" i="11" s="1"/>
  <c r="D20" i="7"/>
  <c r="D8" i="11"/>
  <c r="D12" i="11" s="1"/>
  <c r="D11" i="6"/>
  <c r="D8" i="6"/>
  <c r="H19" i="14" s="1"/>
  <c r="E11" i="7"/>
  <c r="D9" i="8"/>
  <c r="C12" i="7"/>
  <c r="C24" i="7" s="1"/>
  <c r="E14" i="8"/>
  <c r="E16" i="8" s="1"/>
  <c r="E6" i="10"/>
  <c r="E13" i="10" s="1"/>
  <c r="D21" i="15" s="1"/>
  <c r="E6" i="9"/>
  <c r="D14" i="10"/>
  <c r="C17" i="15" s="1"/>
  <c r="C20" i="15" s="1"/>
  <c r="C8" i="6"/>
  <c r="C12" i="6"/>
  <c r="C13" i="6" s="1"/>
  <c r="C6" i="6"/>
  <c r="C7" i="9" s="1"/>
  <c r="C9" i="9" s="1"/>
  <c r="E5" i="6"/>
  <c r="E7" i="6"/>
  <c r="D16" i="15" s="1"/>
  <c r="F4" i="6"/>
  <c r="D6" i="6"/>
  <c r="D7" i="9" s="1"/>
  <c r="C10" i="9" l="1"/>
  <c r="D16" i="9"/>
  <c r="D21" i="7" s="1"/>
  <c r="D15" i="9"/>
  <c r="D8" i="7" s="1"/>
  <c r="C9" i="15"/>
  <c r="C12" i="15" s="1"/>
  <c r="C18" i="15"/>
  <c r="C19" i="15" s="1"/>
  <c r="D19" i="7"/>
  <c r="E6" i="11"/>
  <c r="E18" i="11" s="1"/>
  <c r="F9" i="11"/>
  <c r="F11" i="11" s="1"/>
  <c r="E20" i="7"/>
  <c r="F11" i="7"/>
  <c r="E9" i="8"/>
  <c r="E8" i="11"/>
  <c r="E12" i="11" s="1"/>
  <c r="E11" i="6"/>
  <c r="E8" i="6"/>
  <c r="I19" i="14" s="1"/>
  <c r="D15" i="10"/>
  <c r="D6" i="7" s="1"/>
  <c r="H28" i="14" s="1"/>
  <c r="D10" i="6"/>
  <c r="D12" i="6" s="1"/>
  <c r="D7" i="8"/>
  <c r="E14" i="9"/>
  <c r="E6" i="6"/>
  <c r="E7" i="9" s="1"/>
  <c r="F14" i="8"/>
  <c r="F16" i="8" s="1"/>
  <c r="F6" i="9"/>
  <c r="F6" i="10"/>
  <c r="F13" i="10" s="1"/>
  <c r="E21" i="15" s="1"/>
  <c r="F7" i="6"/>
  <c r="E16" i="15" s="1"/>
  <c r="G4" i="6"/>
  <c r="F5" i="6"/>
  <c r="D17" i="9" l="1"/>
  <c r="D18" i="9" s="1"/>
  <c r="E16" i="9"/>
  <c r="E21" i="7" s="1"/>
  <c r="E15" i="9"/>
  <c r="E8" i="7" s="1"/>
  <c r="F25" i="15"/>
  <c r="E25" i="15"/>
  <c r="C25" i="15"/>
  <c r="G25" i="15"/>
  <c r="D25" i="15"/>
  <c r="D8" i="8"/>
  <c r="C22" i="15"/>
  <c r="C23" i="15" s="1"/>
  <c r="H12" i="14"/>
  <c r="E12" i="10"/>
  <c r="E14" i="10" s="1"/>
  <c r="D17" i="15" s="1"/>
  <c r="H13" i="14"/>
  <c r="G9" i="11"/>
  <c r="G11" i="11" s="1"/>
  <c r="F20" i="7"/>
  <c r="E17" i="9"/>
  <c r="E18" i="9" s="1"/>
  <c r="E9" i="7"/>
  <c r="D13" i="6"/>
  <c r="D14" i="6" s="1"/>
  <c r="F6" i="11"/>
  <c r="F18" i="11" s="1"/>
  <c r="E19" i="7"/>
  <c r="F8" i="6"/>
  <c r="J19" i="14" s="1"/>
  <c r="G11" i="7"/>
  <c r="F9" i="8"/>
  <c r="G14" i="8"/>
  <c r="G16" i="8" s="1"/>
  <c r="G6" i="10"/>
  <c r="G13" i="10" s="1"/>
  <c r="F21" i="15" s="1"/>
  <c r="G6" i="9"/>
  <c r="F14" i="9"/>
  <c r="F9" i="7" s="1"/>
  <c r="F6" i="6"/>
  <c r="F7" i="9" s="1"/>
  <c r="G7" i="6"/>
  <c r="F16" i="15" s="1"/>
  <c r="H4" i="6"/>
  <c r="G5" i="6"/>
  <c r="F16" i="9" l="1"/>
  <c r="F21" i="7" s="1"/>
  <c r="F15" i="9"/>
  <c r="F8" i="7" s="1"/>
  <c r="C26" i="15"/>
  <c r="E8" i="8"/>
  <c r="D22" i="15"/>
  <c r="E7" i="8"/>
  <c r="D20" i="15"/>
  <c r="D18" i="15"/>
  <c r="D19" i="15" s="1"/>
  <c r="E10" i="6"/>
  <c r="E15" i="10"/>
  <c r="F12" i="10" s="1"/>
  <c r="F14" i="10" s="1"/>
  <c r="E17" i="15" s="1"/>
  <c r="I12" i="14"/>
  <c r="H9" i="11"/>
  <c r="H11" i="11" s="1"/>
  <c r="H20" i="7" s="1"/>
  <c r="G20" i="7"/>
  <c r="D21" i="8"/>
  <c r="D22" i="8" s="1"/>
  <c r="D15" i="6"/>
  <c r="H20" i="14" s="1"/>
  <c r="D16" i="6"/>
  <c r="D6" i="8"/>
  <c r="D10" i="8" s="1"/>
  <c r="D17" i="7"/>
  <c r="F8" i="11"/>
  <c r="F12" i="11" s="1"/>
  <c r="F11" i="6"/>
  <c r="H11" i="7"/>
  <c r="H9" i="8" s="1"/>
  <c r="G9" i="8"/>
  <c r="G14" i="9"/>
  <c r="G9" i="7" s="1"/>
  <c r="H14" i="8"/>
  <c r="H16" i="8" s="1"/>
  <c r="H6" i="9"/>
  <c r="H14" i="9" s="1"/>
  <c r="H6" i="10"/>
  <c r="H13" i="10" s="1"/>
  <c r="G21" i="15" s="1"/>
  <c r="H7" i="6"/>
  <c r="G16" i="15" s="1"/>
  <c r="H5" i="6"/>
  <c r="G6" i="6"/>
  <c r="G7" i="9" s="1"/>
  <c r="G8" i="6"/>
  <c r="K19" i="14" s="1"/>
  <c r="F17" i="9" l="1"/>
  <c r="G16" i="9"/>
  <c r="G21" i="7" s="1"/>
  <c r="G15" i="9"/>
  <c r="G8" i="7" s="1"/>
  <c r="H83" i="15"/>
  <c r="H81" i="15"/>
  <c r="H82" i="15"/>
  <c r="D23" i="15"/>
  <c r="E6" i="7"/>
  <c r="I28" i="14" s="1"/>
  <c r="E20" i="15"/>
  <c r="E18" i="15"/>
  <c r="E19" i="15" s="1"/>
  <c r="H39" i="14"/>
  <c r="H40" i="14" s="1"/>
  <c r="C56" i="15"/>
  <c r="D17" i="6"/>
  <c r="F15" i="10"/>
  <c r="F10" i="6"/>
  <c r="F7" i="8"/>
  <c r="G6" i="11"/>
  <c r="G18" i="11" s="1"/>
  <c r="F19" i="7"/>
  <c r="D18" i="7"/>
  <c r="D26" i="8"/>
  <c r="D28" i="8" s="1"/>
  <c r="D29" i="8"/>
  <c r="H45" i="14" s="1"/>
  <c r="H9" i="7"/>
  <c r="G17" i="9"/>
  <c r="G18" i="9" s="1"/>
  <c r="F18" i="9"/>
  <c r="H6" i="6"/>
  <c r="H7" i="9" s="1"/>
  <c r="H8" i="6"/>
  <c r="L19" i="14" s="1"/>
  <c r="H16" i="9" l="1"/>
  <c r="H21" i="7" s="1"/>
  <c r="H15" i="9"/>
  <c r="H8" i="7" s="1"/>
  <c r="D26" i="15"/>
  <c r="C60" i="15"/>
  <c r="C67" i="15" s="1"/>
  <c r="C59" i="15"/>
  <c r="C58" i="15"/>
  <c r="C65" i="15" s="1"/>
  <c r="F8" i="8"/>
  <c r="E22" i="15"/>
  <c r="E23" i="15" s="1"/>
  <c r="G8" i="8"/>
  <c r="F22" i="15"/>
  <c r="H43" i="14"/>
  <c r="J12" i="14"/>
  <c r="H42" i="14"/>
  <c r="H11" i="14"/>
  <c r="H22" i="14"/>
  <c r="H21" i="14"/>
  <c r="H41" i="14"/>
  <c r="H44" i="14"/>
  <c r="D23" i="7"/>
  <c r="G8" i="11"/>
  <c r="G12" i="11" s="1"/>
  <c r="G11" i="6"/>
  <c r="E27" i="8"/>
  <c r="D10" i="7"/>
  <c r="E9" i="6" s="1"/>
  <c r="E12" i="6" s="1"/>
  <c r="G12" i="10"/>
  <c r="F6" i="7"/>
  <c r="J28" i="14" s="1"/>
  <c r="H17" i="9"/>
  <c r="H18" i="9" s="1"/>
  <c r="I13" i="14" l="1"/>
  <c r="E13" i="6"/>
  <c r="E14" i="6" s="1"/>
  <c r="H8" i="8"/>
  <c r="G22" i="15"/>
  <c r="E26" i="15"/>
  <c r="C70" i="15"/>
  <c r="C66" i="15"/>
  <c r="H7" i="14"/>
  <c r="H5" i="14"/>
  <c r="H6" i="14"/>
  <c r="H15" i="14"/>
  <c r="D12" i="7"/>
  <c r="G14" i="10"/>
  <c r="F17" i="15" s="1"/>
  <c r="H6" i="11"/>
  <c r="H18" i="11" s="1"/>
  <c r="G19" i="7"/>
  <c r="E6" i="8" l="1"/>
  <c r="E10" i="8" s="1"/>
  <c r="E16" i="6"/>
  <c r="E15" i="6"/>
  <c r="I20" i="14" s="1"/>
  <c r="E17" i="7"/>
  <c r="E21" i="8"/>
  <c r="E22" i="8" s="1"/>
  <c r="C72" i="15"/>
  <c r="C73" i="15" s="1"/>
  <c r="C8" i="16" s="1"/>
  <c r="C6" i="16"/>
  <c r="C9" i="16" s="1"/>
  <c r="C10" i="16" s="1"/>
  <c r="F20" i="15"/>
  <c r="F18" i="15"/>
  <c r="F19" i="15" s="1"/>
  <c r="H27" i="14"/>
  <c r="H14" i="14"/>
  <c r="K12" i="14"/>
  <c r="D24" i="7"/>
  <c r="G10" i="6"/>
  <c r="G7" i="8"/>
  <c r="H8" i="11"/>
  <c r="H11" i="6"/>
  <c r="G15" i="10"/>
  <c r="E18" i="7" l="1"/>
  <c r="I39" i="14"/>
  <c r="E17" i="6"/>
  <c r="E29" i="8"/>
  <c r="I45" i="14" s="1"/>
  <c r="E26" i="8"/>
  <c r="E28" i="8" s="1"/>
  <c r="F23" i="15"/>
  <c r="H19" i="7"/>
  <c r="H12" i="11"/>
  <c r="H12" i="10"/>
  <c r="G6" i="7"/>
  <c r="K28" i="14" s="1"/>
  <c r="F26" i="15" l="1"/>
  <c r="F27" i="8"/>
  <c r="E10" i="7"/>
  <c r="I41" i="14"/>
  <c r="I44" i="14"/>
  <c r="I43" i="14"/>
  <c r="I40" i="14"/>
  <c r="E23" i="7"/>
  <c r="I42" i="14"/>
  <c r="I22" i="14"/>
  <c r="I21" i="14"/>
  <c r="I11" i="14"/>
  <c r="L12" i="14"/>
  <c r="H14" i="10"/>
  <c r="G17" i="15" s="1"/>
  <c r="F9" i="6" l="1"/>
  <c r="F12" i="6" s="1"/>
  <c r="E12" i="7"/>
  <c r="I7" i="14"/>
  <c r="I6" i="14"/>
  <c r="I5" i="14"/>
  <c r="I15" i="14"/>
  <c r="G20" i="15"/>
  <c r="G18" i="15"/>
  <c r="G19" i="15" s="1"/>
  <c r="H10" i="6"/>
  <c r="H7" i="8"/>
  <c r="H15" i="10"/>
  <c r="H6" i="7" s="1"/>
  <c r="L28" i="14" s="1"/>
  <c r="I27" i="14" l="1"/>
  <c r="I14" i="14"/>
  <c r="F13" i="6"/>
  <c r="F14" i="6" s="1"/>
  <c r="J13" i="14"/>
  <c r="E24" i="7"/>
  <c r="G23" i="15"/>
  <c r="G26" i="15" l="1"/>
  <c r="C28" i="15" s="1"/>
  <c r="E81" i="15"/>
  <c r="E82" i="15"/>
  <c r="E83" i="15"/>
  <c r="F15" i="6"/>
  <c r="J20" i="14" s="1"/>
  <c r="F6" i="8"/>
  <c r="F10" i="8" s="1"/>
  <c r="F16" i="6"/>
  <c r="F21" i="8"/>
  <c r="F22" i="8" s="1"/>
  <c r="F17" i="7"/>
  <c r="G44" i="15"/>
  <c r="C47" i="15"/>
  <c r="C43" i="15"/>
  <c r="E44" i="15"/>
  <c r="C46" i="15"/>
  <c r="E45" i="15"/>
  <c r="C44" i="15"/>
  <c r="G43" i="15"/>
  <c r="E43" i="15"/>
  <c r="E47" i="15"/>
  <c r="C45" i="15"/>
  <c r="F45" i="15"/>
  <c r="D47" i="15"/>
  <c r="F43" i="15"/>
  <c r="F44" i="15"/>
  <c r="G47" i="15"/>
  <c r="G45" i="15"/>
  <c r="D46" i="15"/>
  <c r="D45" i="15"/>
  <c r="C30" i="15"/>
  <c r="C31" i="15" s="1"/>
  <c r="F46" i="15"/>
  <c r="E46" i="15"/>
  <c r="D44" i="15"/>
  <c r="D43" i="15"/>
  <c r="G46" i="15"/>
  <c r="F47" i="15"/>
  <c r="C32" i="15" l="1"/>
  <c r="C35" i="15" s="1"/>
  <c r="C37" i="15" s="1"/>
  <c r="C7" i="16" s="1"/>
  <c r="J39" i="14"/>
  <c r="F17" i="6"/>
  <c r="F29" i="8"/>
  <c r="J45" i="14" s="1"/>
  <c r="F26" i="8"/>
  <c r="F28" i="8" s="1"/>
  <c r="F18" i="7"/>
  <c r="C64" i="15" l="1"/>
  <c r="C38" i="15"/>
  <c r="J11" i="14"/>
  <c r="F23" i="7"/>
  <c r="J42" i="14"/>
  <c r="J22" i="14"/>
  <c r="J21" i="14"/>
  <c r="G27" i="8"/>
  <c r="F10" i="7"/>
  <c r="J44" i="14"/>
  <c r="J41" i="14"/>
  <c r="J40" i="14"/>
  <c r="J43" i="14"/>
  <c r="G9" i="6" l="1"/>
  <c r="G12" i="6" s="1"/>
  <c r="F12" i="7"/>
  <c r="J5" i="14"/>
  <c r="J7" i="14"/>
  <c r="J6" i="14"/>
  <c r="J15" i="14"/>
  <c r="F24" i="7"/>
  <c r="J27" i="14" l="1"/>
  <c r="J14" i="14"/>
  <c r="G13" i="6"/>
  <c r="G14" i="6" s="1"/>
  <c r="K13" i="14"/>
  <c r="G21" i="8" l="1"/>
  <c r="G22" i="8" s="1"/>
  <c r="G16" i="6"/>
  <c r="G6" i="8"/>
  <c r="G10" i="8" s="1"/>
  <c r="G15" i="6"/>
  <c r="K20" i="14" s="1"/>
  <c r="G17" i="7"/>
  <c r="G18" i="7" l="1"/>
  <c r="G26" i="8"/>
  <c r="G28" i="8" s="1"/>
  <c r="G29" i="8"/>
  <c r="K45" i="14" s="1"/>
  <c r="K39" i="14"/>
  <c r="G17" i="6"/>
  <c r="K40" i="14" l="1"/>
  <c r="K43" i="14"/>
  <c r="K44" i="14"/>
  <c r="K41" i="14"/>
  <c r="H27" i="8"/>
  <c r="G10" i="7"/>
  <c r="G23" i="7"/>
  <c r="K42" i="14"/>
  <c r="K11" i="14"/>
  <c r="K22" i="14"/>
  <c r="K21" i="14"/>
  <c r="H9" i="6" l="1"/>
  <c r="H12" i="6" s="1"/>
  <c r="K7" i="14"/>
  <c r="G12" i="7"/>
  <c r="G24" i="7" s="1"/>
  <c r="K5" i="14"/>
  <c r="K6" i="14"/>
  <c r="K15" i="14"/>
  <c r="K27" i="14" l="1"/>
  <c r="K14" i="14"/>
  <c r="H13" i="6"/>
  <c r="H14" i="6" s="1"/>
  <c r="L13" i="14"/>
  <c r="H6" i="8" l="1"/>
  <c r="H10" i="8" s="1"/>
  <c r="H16" i="6"/>
  <c r="H15" i="6"/>
  <c r="L20" i="14" s="1"/>
  <c r="H21" i="8"/>
  <c r="H22" i="8" s="1"/>
  <c r="H17" i="7"/>
  <c r="H18" i="7" s="1"/>
  <c r="L21" i="14" s="1"/>
  <c r="H23" i="7" l="1"/>
  <c r="L11" i="14"/>
  <c r="L42" i="14"/>
  <c r="L22" i="14"/>
  <c r="L39" i="14"/>
  <c r="H17" i="6"/>
  <c r="H29" i="8"/>
  <c r="L45" i="14" s="1"/>
  <c r="H26" i="8"/>
  <c r="H28" i="8" s="1"/>
  <c r="H10" i="7" s="1"/>
  <c r="H12" i="7" l="1"/>
  <c r="H24" i="7" s="1"/>
  <c r="L7" i="14"/>
  <c r="L15" i="14"/>
  <c r="L5" i="14"/>
  <c r="L6" i="14"/>
  <c r="L41" i="14"/>
  <c r="L44" i="14"/>
  <c r="L43" i="14"/>
  <c r="L40" i="14"/>
  <c r="L27" i="14" l="1"/>
  <c r="L14" i="14"/>
</calcChain>
</file>

<file path=xl/sharedStrings.xml><?xml version="1.0" encoding="utf-8"?>
<sst xmlns="http://schemas.openxmlformats.org/spreadsheetml/2006/main" count="662" uniqueCount="494">
  <si>
    <t>Integrated Three-Statement Financial Model &amp; Valuation</t>
  </si>
  <si>
    <t>Company</t>
  </si>
  <si>
    <t>Asian Paints Ltd (NSE: ASIANPAINT, BSE: 500820)</t>
  </si>
  <si>
    <t>Sector</t>
  </si>
  <si>
    <t>Paints &amp; Home Décor (Consumer Discretionary)</t>
  </si>
  <si>
    <t>Historical Period</t>
  </si>
  <si>
    <t>FY2022 – FY2026 (year ending 31 March)</t>
  </si>
  <si>
    <t>Forecast Period</t>
  </si>
  <si>
    <t>FY2027E – FY2031E</t>
  </si>
  <si>
    <t>Valuation Methods</t>
  </si>
  <si>
    <t>Discounted Cash Flow (FCFF) + Relative Valuation (Comparables)</t>
  </si>
  <si>
    <t>Prepared As On</t>
  </si>
  <si>
    <t>18 August 2026</t>
  </si>
  <si>
    <t>Currency</t>
  </si>
  <si>
    <t>INR Crores unless stated otherwise</t>
  </si>
  <si>
    <t>Primary Data Sources</t>
  </si>
  <si>
    <t>screener.in (consolidated) · ICICI Direct Q4FY26 Result Update · Company Investor Relations</t>
  </si>
  <si>
    <t>Workbook Map</t>
  </si>
  <si>
    <t>Historical Data</t>
  </si>
  <si>
    <t>Ratio Analysis</t>
  </si>
  <si>
    <t>Assumptions</t>
  </si>
  <si>
    <t>Income Statement</t>
  </si>
  <si>
    <t>Balance Sheet</t>
  </si>
  <si>
    <t>Cash Flow</t>
  </si>
  <si>
    <t>Valuation</t>
  </si>
  <si>
    <t>Recommendation</t>
  </si>
  <si>
    <t>1. INCOME STATEMENT (₹ Cr)</t>
  </si>
  <si>
    <t>₹ Crores</t>
  </si>
  <si>
    <t>FY2022</t>
  </si>
  <si>
    <t>FY2023</t>
  </si>
  <si>
    <t>FY2024</t>
  </si>
  <si>
    <t>FY2025</t>
  </si>
  <si>
    <t>FY2026</t>
  </si>
  <si>
    <t>Revenue from Operations (Sales)</t>
  </si>
  <si>
    <t>Total Operating Expenses</t>
  </si>
  <si>
    <t>EBITDA (Operating Profit)</t>
  </si>
  <si>
    <t>EBITDA Margin %</t>
  </si>
  <si>
    <t>Other Income</t>
  </si>
  <si>
    <t>Interest (Finance Costs)</t>
  </si>
  <si>
    <t>Depreciation &amp; Amortisation</t>
  </si>
  <si>
    <t>Profit Before Tax</t>
  </si>
  <si>
    <t>Effective Tax Rate %</t>
  </si>
  <si>
    <t>Net Profit (incl. associates &amp; MI)</t>
  </si>
  <si>
    <t>Net Profit Margin %</t>
  </si>
  <si>
    <t>EPS (₹)</t>
  </si>
  <si>
    <t>Dividend Payout %</t>
  </si>
  <si>
    <t>Revenue Growth % YoY</t>
  </si>
  <si>
    <t>2. BALANCE SHEET (₹ Cr)</t>
  </si>
  <si>
    <t>Equity Share Capital</t>
  </si>
  <si>
    <t>Reserves &amp; Surplus</t>
  </si>
  <si>
    <t>Net Worth (Shareholders' Funds)</t>
  </si>
  <si>
    <t>Borrowings (incl. lease liabilities)</t>
  </si>
  <si>
    <t>Other Liabilities &amp; Provisions</t>
  </si>
  <si>
    <t>Total Equity &amp; Liabilities</t>
  </si>
  <si>
    <t>Net Fixed Assets (incl. intangibles, ROU)</t>
  </si>
  <si>
    <t>Capital Work-in-Progress</t>
  </si>
  <si>
    <t>Investments (non-current + current)</t>
  </si>
  <si>
    <t>Other Assets (incl. WC, cash; rounding-adjusted)</t>
  </si>
  <si>
    <t>Total Assets</t>
  </si>
  <si>
    <t>Balance Check (must be 0)</t>
  </si>
  <si>
    <t>3. CASH FLOW STATEMENT (₹ Cr)</t>
  </si>
  <si>
    <t>Cash from Operating Activities</t>
  </si>
  <si>
    <t>Cash from Investing Activities</t>
  </si>
  <si>
    <t>Cash from Financing Activities</t>
  </si>
  <si>
    <t>Net Change in Cash</t>
  </si>
  <si>
    <t>Free Cash Flow (screener)</t>
  </si>
  <si>
    <t>4. WORKING-CAPITAL / EFFICIENCY METRICS (screener)</t>
  </si>
  <si>
    <t>Debtor Days</t>
  </si>
  <si>
    <t>Inventory Days</t>
  </si>
  <si>
    <t>Days Payable</t>
  </si>
  <si>
    <t>Cash Conversion Cycle (days)</t>
  </si>
  <si>
    <t>Working Capital Days</t>
  </si>
  <si>
    <t>ROCE %</t>
  </si>
  <si>
    <t>5. BALANCE-SHEET DETAIL (ICICI Direct / company filings, FY24–FY26)</t>
  </si>
  <si>
    <t>Inventories</t>
  </si>
  <si>
    <t>Trade Receivables (Debtors)</t>
  </si>
  <si>
    <t>Cash &amp; Cash Equivalents</t>
  </si>
  <si>
    <t>Current Investments (liquid funds)</t>
  </si>
  <si>
    <t>Trade Payables (Creditors)</t>
  </si>
  <si>
    <t>6. MARKET SNAPSHOT &amp; SHAREHOLDING (as on 18-Aug-2026)</t>
  </si>
  <si>
    <t>Current Market Price (NSE)</t>
  </si>
  <si>
    <t>Market Capitalisation (₹ Cr)</t>
  </si>
  <si>
    <t>Shares Outstanding (Cr)</t>
  </si>
  <si>
    <t>Face Value (₹)</t>
  </si>
  <si>
    <t>Trailing P/E (x)</t>
  </si>
  <si>
    <t>Price / Book (x)</t>
  </si>
  <si>
    <t>Book Value per Share (₹)</t>
  </si>
  <si>
    <t>Dividend Yield %</t>
  </si>
  <si>
    <t>ROE % (FY26)</t>
  </si>
  <si>
    <t>ROCE % (FY26)</t>
  </si>
  <si>
    <t>Shareholding Pattern (Jun-2026 quarter):</t>
  </si>
  <si>
    <t>Promoters</t>
  </si>
  <si>
    <t>FIIs</t>
  </si>
  <si>
    <t>DIIs</t>
  </si>
  <si>
    <t>Government</t>
  </si>
  <si>
    <t>Public &amp; Others</t>
  </si>
  <si>
    <t>Asian Paints Investor Relations (asianpaints.com/more/investors) and NSE/BSE filings for cross-checks. Blue = hardcoded source data; Black = calculated.</t>
  </si>
  <si>
    <t>Working Capital Schedule</t>
  </si>
  <si>
    <t>Dep &amp; Capex Schedule</t>
  </si>
  <si>
    <t>Debt Schedule</t>
  </si>
  <si>
    <t>LIQUIDITY RATIOS</t>
  </si>
  <si>
    <t>Interpretation</t>
  </si>
  <si>
    <t>SOLVENCY RATIOS</t>
  </si>
  <si>
    <t>Equity ratio (net worth / assets) %</t>
  </si>
  <si>
    <t>PROFITABILITY RATIOS</t>
  </si>
  <si>
    <t>EBITDA margin %</t>
  </si>
  <si>
    <t>Net profit margin %</t>
  </si>
  <si>
    <t>Return on equity (ROE) %</t>
  </si>
  <si>
    <t>ROCE % (screener reported)</t>
  </si>
  <si>
    <t>TURNOVER RATIOS</t>
  </si>
  <si>
    <t>Working capital days (screener)</t>
  </si>
  <si>
    <t>EARNINGS RATIOS</t>
  </si>
  <si>
    <t>EPS growth %</t>
  </si>
  <si>
    <t>Dividend per share (₹)</t>
  </si>
  <si>
    <t>Book value per share (₹)</t>
  </si>
  <si>
    <t>GLOBAL / MARKET INPUTS</t>
  </si>
  <si>
    <t>FY27E</t>
  </si>
  <si>
    <t>FY28E</t>
  </si>
  <si>
    <t>FY29E</t>
  </si>
  <si>
    <t>FY30E</t>
  </si>
  <si>
    <t>FY31E</t>
  </si>
  <si>
    <t>Justification</t>
  </si>
  <si>
    <t>Valuation date</t>
  </si>
  <si>
    <t>Current market price (₹)</t>
  </si>
  <si>
    <t>Shares outstanding (Cr)</t>
  </si>
  <si>
    <t>OPERATING ASSUMPTIONS</t>
  </si>
  <si>
    <t>Revenue growth %</t>
  </si>
  <si>
    <t>Depreciation % (opening block + ½ capex)</t>
  </si>
  <si>
    <t>Capex % of revenue</t>
  </si>
  <si>
    <t>Effective tax rate %</t>
  </si>
  <si>
    <t>Receivable days (of revenue)</t>
  </si>
  <si>
    <t>Interest rate on opening debt %</t>
  </si>
  <si>
    <t>New borrowings / (repayment) ₹ Cr</t>
  </si>
  <si>
    <t>Dividend payout % of PAT</t>
  </si>
  <si>
    <t>Residual other assets / liabilities</t>
  </si>
  <si>
    <t>grow</t>
  </si>
  <si>
    <t>with</t>
  </si>
  <si>
    <t>revenue</t>
  </si>
  <si>
    <t>VALUATION INPUTS (DCF)</t>
  </si>
  <si>
    <t>Risk-free rate %</t>
  </si>
  <si>
    <t>Equity risk premium %</t>
  </si>
  <si>
    <t>Cost of equity (CAPM) %</t>
  </si>
  <si>
    <t>Pre-tax cost of debt %</t>
  </si>
  <si>
    <t>Terminal growth rate %</t>
  </si>
  <si>
    <t>The model uses market data as on this date.</t>
  </si>
  <si>
    <t>Share price on NSE on 18-Aug-2026 (from screener.in).</t>
  </si>
  <si>
    <t>Total shares = ₹95.92 Cr equity capital ÷ ₹1 face value per share.</t>
  </si>
  <si>
    <t>Management says margins will stay between 18% and 20%. Costly raw materials hurt early FY27, but price hikes, more premium products and the new in-house raw-material plant (VAM-VAE) slowly lift margins to 19.5% by FY31 — still below FY24's one-off peak of 21.4%.</t>
  </si>
  <si>
    <t>In FY26, depreciation was ~11.7% of the assets the year started with. We use 11.5%, and count only half a year's depreciation on assets bought during the year.</t>
  </si>
  <si>
    <t>The company paid ~27% tax in FY25–26 and 24% in FY24. We use 26.5% for all forecast years.</t>
  </si>
  <si>
    <t>In FY26, customers took ~46 days to pay. With competition this high, the company can't force faster payment — so we keep it at 46 days.</t>
  </si>
  <si>
    <t>In FY26 the company paid ~₹195 Cr interest on ~₹3,100 Cr of average debt — roughly 6.3%. We round to 6.5%.</t>
  </si>
  <si>
    <t>Over the last 5 years the company paid out 58–65% of its profit as dividend, even in bad years. We use 60%.</t>
  </si>
  <si>
    <t>All the other small balance-sheet items (advances, deposits, provisions etc.) grow at the same speed as sales, starting from their FY26 levels.</t>
  </si>
  <si>
    <t>The return shareholders expect = risk-free rate + beta × extra return for shares.</t>
  </si>
  <si>
    <t>The interest rate the company would pay if it took a new loan or lease today.</t>
  </si>
  <si>
    <t>INCOME STATEMENT</t>
  </si>
  <si>
    <t>FY26A</t>
  </si>
  <si>
    <t>Note</t>
  </si>
  <si>
    <t>Revenue from Operations</t>
  </si>
  <si>
    <t>FY27 growth on FY26 actual</t>
  </si>
  <si>
    <t>Revenue − EBITDA</t>
  </si>
  <si>
    <t>EBITDA</t>
  </si>
  <si>
    <t>Revenue × EBITDA margin assumption</t>
  </si>
  <si>
    <t>pending schedules</t>
  </si>
  <si>
    <t>Less: Tax (net of associates/MI)</t>
  </si>
  <si>
    <t>Net Profit</t>
  </si>
  <si>
    <t>Net margin %</t>
  </si>
  <si>
    <t>forecast: Net Profit ÷ shares outstanding</t>
  </si>
  <si>
    <t>Dividend per Share (₹)</t>
  </si>
  <si>
    <t>forecast: EPS × 60% payout</t>
  </si>
  <si>
    <t>Depreciation, interest and everything below them will fill automatically once the Dep-Capex and Debt schedules are built (rest of Part 5).</t>
  </si>
  <si>
    <t>ASSETS</t>
  </si>
  <si>
    <t>Net Fixed Assets + CWIP</t>
  </si>
  <si>
    <t>→ from Dep-Capex Schedule</t>
  </si>
  <si>
    <t>held at FY26 level; surplus cash builds in the cash line</t>
  </si>
  <si>
    <t>→ from Working Capital Schedule</t>
  </si>
  <si>
    <t>Trade Receivables</t>
  </si>
  <si>
    <t>Other Assets (residual)</t>
  </si>
  <si>
    <t>grows with revenue (Assumptions)</t>
  </si>
  <si>
    <t>TOTAL ASSETS</t>
  </si>
  <si>
    <t>EQUITY &amp; LIABILITIES</t>
  </si>
  <si>
    <t>constant — no buyback/split assumed</t>
  </si>
  <si>
    <t>Net Worth</t>
  </si>
  <si>
    <t>Trade Payables</t>
  </si>
  <si>
    <t>Other Liabilities (residual)</t>
  </si>
  <si>
    <t>TOTAL EQUITY &amp; LIABILITIES</t>
  </si>
  <si>
    <t>OPERATING ACTIVITIES</t>
  </si>
  <si>
    <t>→ from completed Income Statement</t>
  </si>
  <si>
    <t>Add: Depreciation &amp; Amortisation</t>
  </si>
  <si>
    <t>(Increase)/decrease in working capital</t>
  </si>
  <si>
    <t>Other operating adjustments (net)</t>
  </si>
  <si>
    <t>INVESTING ACTIVITIES</t>
  </si>
  <si>
    <t>Capex (additions to fixed assets &amp; CWIP)</t>
  </si>
  <si>
    <t>Change in investments / others (net)</t>
  </si>
  <si>
    <t>investment book held flat in forecasts</t>
  </si>
  <si>
    <t>FINANCING ACTIVITIES</t>
  </si>
  <si>
    <t>New borrowings / (repayment)</t>
  </si>
  <si>
    <t>Assumptions: debt held flat → nil flows</t>
  </si>
  <si>
    <t>Dividends, interest &amp; lease payments (net)</t>
  </si>
  <si>
    <t>forecast: borrowings − dividends − interest</t>
  </si>
  <si>
    <t>CFO + CFI + CFF</t>
  </si>
  <si>
    <t>Opening Cash</t>
  </si>
  <si>
    <t>FY27 opens at the FY26 balance-sheet cash; later years chain from closing</t>
  </si>
  <si>
    <t>Closing Cash</t>
  </si>
  <si>
    <t>→ feeds the Balance Sheet cash line (the model's plug)</t>
  </si>
  <si>
    <t>Free Cash Flow (CFO − capex)</t>
  </si>
  <si>
    <t>check row; FY26A = ₹5,604 Cr per screener</t>
  </si>
  <si>
    <t>Note: screener's FY26A 'net change in cash' (₹3,383 Cr) uses a wider cash definition (incl. bank balances/deposits) than the ₹1,074 Cr cash line; the forecast roll-forward anchors on the balance-sheet figure.</t>
  </si>
  <si>
    <t>DRIVERS</t>
  </si>
  <si>
    <t>Revenue</t>
  </si>
  <si>
    <t>from Income Statement</t>
  </si>
  <si>
    <t>Receivable days</t>
  </si>
  <si>
    <t>WORKING CAPITAL BALANCES</t>
  </si>
  <si>
    <t>Revenue × receivable days ÷ 365</t>
  </si>
  <si>
    <t>Net Working Capital (Rec + Inv − Pay)</t>
  </si>
  <si>
    <t>(Increase)/decrease in NWC — cash impact</t>
  </si>
  <si>
    <t>prior NWC − current NWC; negative = cash absorbed → feeds Cash Flow</t>
  </si>
  <si>
    <t>FY26A = actual implied; forecasts from Assumptions</t>
  </si>
  <si>
    <t>Depreciation rate</t>
  </si>
  <si>
    <t>NET BLOCK ROLL-FORWARD (incl. CWIP)</t>
  </si>
  <si>
    <t>Opening Net Block</t>
  </si>
  <si>
    <t>FY27 opens at FY26 closing block; later years chain</t>
  </si>
  <si>
    <t>Add: Capex</t>
  </si>
  <si>
    <t>Revenue × capex %; same figure flows to Cash Flow</t>
  </si>
  <si>
    <t>Less: Depreciation</t>
  </si>
  <si>
    <t>rate × (opening block + ½ × capex) → feeds Income Statement</t>
  </si>
  <si>
    <t>Closing Net Block</t>
  </si>
  <si>
    <t>→ feeds Balance Sheet fixed assets</t>
  </si>
  <si>
    <t>FY27 opens at FY26 closing borrowings; later years chain</t>
  </si>
  <si>
    <t>Add: New borrowings / (repayment)</t>
  </si>
  <si>
    <t>from Assumptions — nil</t>
  </si>
  <si>
    <t>INTEREST EXPENSE</t>
  </si>
  <si>
    <t>Interest rate on opening debt</t>
  </si>
  <si>
    <t>Interest Expense</t>
  </si>
  <si>
    <t>from Dep-Capex Schedule</t>
  </si>
  <si>
    <t>from Debt Schedule</t>
  </si>
  <si>
    <t>EBITDA + other income − dep − interest</t>
  </si>
  <si>
    <t>PBT × 26.5% (Assumptions)</t>
  </si>
  <si>
    <t>change in residual other liabilities − change in residual other assets (non-WC, non-cash items)</t>
  </si>
  <si>
    <t>forecast = dividends only (interest &amp; leases already inside PAT)</t>
  </si>
  <si>
    <t>closing cash from Cash Flow — the model's plug</t>
  </si>
  <si>
    <t>prior reserves + PAT retained (40%)</t>
  </si>
  <si>
    <t xml:space="preserve">   of which: Borrowings (ex-lease)</t>
  </si>
  <si>
    <t xml:space="preserve">   of which: Lease liabilities (Ind AS 116)</t>
  </si>
  <si>
    <t>Sources: screener.in/company/ASIANPAINT/consolidated (accessed 18-Aug-2026); ICICI Direct 'Asian Paints Q4FY26 Result Update' (01-Jun-2026) for cash/inventory/debtor/creditor detail; Borrowings/lease split per company filings (via stockanalysis.com), ties to screener totals.</t>
  </si>
  <si>
    <t>BORROWINGS (EX-LEASE) ROLL-FORWARD</t>
  </si>
  <si>
    <t>Opening Borrowings (ex-lease)</t>
  </si>
  <si>
    <t>Closing Borrowings (ex-lease)</t>
  </si>
  <si>
    <t>→ feeds Balance Sheet borrowings (ex-lease)</t>
  </si>
  <si>
    <t>Opening Lease Liabilities</t>
  </si>
  <si>
    <t>Add: New leases / (repayments) net</t>
  </si>
  <si>
    <t>Closing Lease Liabilities</t>
  </si>
  <si>
    <t>Total Closing Debt (borrowings + leases)</t>
  </si>
  <si>
    <t>lease renewals assumed to offset repayments</t>
  </si>
  <si>
    <t>→ feeds Balance Sheet lease liabilities</t>
  </si>
  <si>
    <t>rate × (opening borrowings + opening leases) → feeds Income Statement</t>
  </si>
  <si>
    <t>Borrowings (ex-lease)</t>
  </si>
  <si>
    <t>→ from Debt Schedule (ex-lease roll-forward)</t>
  </si>
  <si>
    <t>Lease Liabilities</t>
  </si>
  <si>
    <t>→ from Debt Schedule (lease roll-forward)</t>
  </si>
  <si>
    <t>The company has more cash than debt and doesn't need loans. Borrowings (₹2,293 Cr) and lease liabilities (₹1,636 Cr) are both held flat at FY26 levels — leases keep getting renewed as old ones end.</t>
  </si>
  <si>
    <t>ROCE % (closing capital)</t>
  </si>
  <si>
    <t>Net debt (₹ Cr)</t>
  </si>
  <si>
    <t>Free cash flow (₹ Cr)</t>
  </si>
  <si>
    <t>The company always owns ~1.7–1.9 times more short-term assets than the bills it owes — past and forecast.</t>
  </si>
  <si>
    <t>Cash + investments (₹ Cr)</t>
  </si>
  <si>
    <t>The ready-money pile keeps compounding — ~₹4,300 Cr (FY24) to ~₹15,000 Cr by FY31, even after big dividends. (Forecast includes ₹776 Cr non-current investments.)</t>
  </si>
  <si>
    <t>All debt equals only ~4–7 months of operating profit, in every single year.</t>
  </si>
  <si>
    <t>60%+ of everything the company owns is funded by shareholders, throughout.</t>
  </si>
  <si>
    <t>Always negative = more cash than debt; the surplus roughly triples to ~₹11,000 Cr by FY31.</t>
  </si>
  <si>
    <t>Fell to 16.5% in FY22's cost shock, peaked at 21.4% in FY24, then holds inside the promised 18–20% band.</t>
  </si>
  <si>
    <t>₹10–16 of every ₹100 of sales becomes final profit; settles around 13% in the forecasts.</t>
  </si>
  <si>
    <t>Shareholders' money earned 19–30% historically and stays above 20% in the forecasts.</t>
  </si>
  <si>
    <t>Every working rupee earns 24–36 paise; recovers toward ~29% as the new plants start producing.</t>
  </si>
  <si>
    <t>Screener's average-capital version of the same story (history only).</t>
  </si>
  <si>
    <t>Receivable (debtor) days</t>
  </si>
  <si>
    <t>Customers pay in 46–50 days throughout — credit discipline holds.</t>
  </si>
  <si>
    <t>Inventory days (screener, on material cost)</t>
  </si>
  <si>
    <t>Stock vs material COST — ~4 months; FY26's 118 days was the leanest in five years. (History only.)</t>
  </si>
  <si>
    <t>Payable days (screener, on material cost)</t>
  </si>
  <si>
    <t>Supplier credit vs material cost — 71–96 days. (History only.)</t>
  </si>
  <si>
    <t>Cash conversion cycle (revenue basis)</t>
  </si>
  <si>
    <t>Screener's working-capital days fell 57 → 38 — the big FY26 cash release. (History only.)</t>
  </si>
  <si>
    <t>₹31.6 → ₹45.1 over five years, then ~13% a year to ₹81.6 by FY31.</t>
  </si>
  <si>
    <t>Bumpy history (+35%, −33%); the forecast smooths out to 9–16% a year.</t>
  </si>
  <si>
    <t>The dividend follows profit at ~60% payout — ₹19 → ₹49 over the decade.</t>
  </si>
  <si>
    <t>Net worth per share compounds ~12% a year to ~₹353, even after the payouts.</t>
  </si>
  <si>
    <t>Dividend yield at CMP %</t>
  </si>
  <si>
    <t>~1.0% today, rising to ~1.9% on FY31's dividend — returns must come from growth, not yield.</t>
  </si>
  <si>
    <t>₹475 Cr in the bad FY22, a record ₹5,604 Cr in FY26, ~₹6,600 Cr by FY31 — funds dividends with plenty left over.</t>
  </si>
  <si>
    <t>1. COST OF CAPITAL (WACC)</t>
  </si>
  <si>
    <t>Market value of equity</t>
  </si>
  <si>
    <t>share price × number of shares</t>
  </si>
  <si>
    <t>Market value of debt (incl. leases, FY26)</t>
  </si>
  <si>
    <t>book value used as proxy</t>
  </si>
  <si>
    <t>Total capital</t>
  </si>
  <si>
    <t>Weight of equity</t>
  </si>
  <si>
    <t>Weight of debt</t>
  </si>
  <si>
    <t>Cost of equity (Ke)</t>
  </si>
  <si>
    <t>from Assumptions (CAPM)</t>
  </si>
  <si>
    <t>Post-tax cost of debt</t>
  </si>
  <si>
    <t>7.5% × (1 − 26.5% tax)</t>
  </si>
  <si>
    <t>WACC</t>
  </si>
  <si>
    <t>the blended return the company must earn for its investors</t>
  </si>
  <si>
    <t>2. DISCOUNTED CASH FLOW (FCFF)</t>
  </si>
  <si>
    <t>EBIT</t>
  </si>
  <si>
    <t>other income excluded — treasury cash is added separately below</t>
  </si>
  <si>
    <t>NOPAT = EBIT × (1 − tax)</t>
  </si>
  <si>
    <t>Add: Depreciation</t>
  </si>
  <si>
    <t>Less: Capex</t>
  </si>
  <si>
    <t>Add: Working-capital change</t>
  </si>
  <si>
    <t>negative = cash absorbed by growth</t>
  </si>
  <si>
    <t>Free Cash Flow to Firm (FCFF)</t>
  </si>
  <si>
    <t>Discount period (mid-year)</t>
  </si>
  <si>
    <t>cash arrives through the year, not on 31 March</t>
  </si>
  <si>
    <t>Discount factor</t>
  </si>
  <si>
    <t>PV of FCFF</t>
  </si>
  <si>
    <t>Sum of PV, FY27E–FY31E</t>
  </si>
  <si>
    <t>Terminal growth rate (g)</t>
  </si>
  <si>
    <t>from Assumptions</t>
  </si>
  <si>
    <t>Terminal value at FY31</t>
  </si>
  <si>
    <t>FY31 cash flow growing at g forever</t>
  </si>
  <si>
    <t>PV of terminal value</t>
  </si>
  <si>
    <t>Enterprise Value</t>
  </si>
  <si>
    <t>Add: Cash + investments (FY26)</t>
  </si>
  <si>
    <t>Less: Debt incl. leases (FY26)</t>
  </si>
  <si>
    <t>Equity Value</t>
  </si>
  <si>
    <t>DCF INTRINSIC VALUE PER SHARE (₹)</t>
  </si>
  <si>
    <t>CMP premium over DCF value</t>
  </si>
  <si>
    <t>how much extra the market pays vs pure DCF maths</t>
  </si>
  <si>
    <t>3. DCF SENSITIVITY — intrinsic value per share (₹)</t>
  </si>
  <si>
    <t>WACC ↓ \ Terminal growth →</t>
  </si>
  <si>
    <t>4. RELATIVE VALUATION (COMPARABLE COMPANIES)</t>
  </si>
  <si>
    <t>Peer</t>
  </si>
  <si>
    <t>Source: screener.in, 18-Aug-2026</t>
  </si>
  <si>
    <t>Asian Paints (trailing TTM)</t>
  </si>
  <si>
    <t>Berger Paints</t>
  </si>
  <si>
    <t>Kansai Nerolac</t>
  </si>
  <si>
    <t>FY27E EPS (₹)</t>
  </si>
  <si>
    <t>from the model</t>
  </si>
  <si>
    <t>if competition keeps hurting</t>
  </si>
  <si>
    <t>primary fair-value estimate</t>
  </si>
  <si>
    <t>back to its historical premium</t>
  </si>
  <si>
    <t>5. VALUATION SUMMARY &amp; VERDICT</t>
  </si>
  <si>
    <t>DCF intrinsic value (₹)</t>
  </si>
  <si>
    <t>pure cash-flow maths</t>
  </si>
  <si>
    <t>primary method</t>
  </si>
  <si>
    <t>Broker reference: ICICI Direct target (₹)</t>
  </si>
  <si>
    <t>FAIR VALUE (base case, ₹/share)</t>
  </si>
  <si>
    <t>relative valuation is the primary method; DCF is the cross-check</t>
  </si>
  <si>
    <t>CMP vs fair value</t>
  </si>
  <si>
    <t>positive = market price is above fair value</t>
  </si>
  <si>
    <t>VERDICT</t>
  </si>
  <si>
    <t>Current ratio (approx) (times)</t>
  </si>
  <si>
    <t>Quick ratio (approx) (times)</t>
  </si>
  <si>
    <t>Debt / equity (times)</t>
  </si>
  <si>
    <t>Debt / EBITDA (times)</t>
  </si>
  <si>
    <t>Interest coverage (times)</t>
  </si>
  <si>
    <t>Total asset turnover (times)</t>
  </si>
  <si>
    <t>Fixed asset turnover (times)</t>
  </si>
  <si>
    <t>P/E at CMP ₹2,628 (times)</t>
  </si>
  <si>
    <t>Target multiple (times)</t>
  </si>
  <si>
    <t>Beta (times)</t>
  </si>
  <si>
    <t>Even without counting paint stock, short-term bills stay covered (~1.0–1.2 times).</t>
  </si>
  <si>
    <t>Debt (incl. leases) stays tiny — 0.11–0.18 times — and shrinks further as net worth grows.</t>
  </si>
  <si>
    <t>Profit covers the interest bill 24–45 times, improving to ~43 times — zero default risk.</t>
  </si>
  <si>
    <t>Dipped during the downturn and capex phase; stabilises around 1.1 times.</t>
  </si>
  <si>
    <t>Fell from ~5 times to ~3.1 times while factories were being built; recovers to ~4.1 times as VAM-VAE ramps.</t>
  </si>
  <si>
    <t>At today's ₹2,628 you pay 58 times FY26 profit, 53 times FY27's, falling to 32 times FY31's — the price assumes the growth arrives.</t>
  </si>
  <si>
    <t>P/E (times)</t>
  </si>
  <si>
    <t>Bear case: 40 times FY27E EPS (₹/share)</t>
  </si>
  <si>
    <t>BASE CASE: 48 times FY27E EPS (₹/share)</t>
  </si>
  <si>
    <t>Bull case: 55 times FY27E EPS (₹/share)</t>
  </si>
  <si>
    <t>Relative — bear 40 times (₹)</t>
  </si>
  <si>
    <t>Relative — base 48 times (₹)</t>
  </si>
  <si>
    <t>Relative — bull 55 times (₹)</t>
  </si>
  <si>
    <t>Buy, June-2026, at 52 times FY28E EPS</t>
  </si>
  <si>
    <t>RECOMMENDATION</t>
  </si>
  <si>
    <t>Fair value — base case (₹)</t>
  </si>
  <si>
    <t>DCF cross-check value (₹)</t>
  </si>
  <si>
    <t>Valuation verdict</t>
  </si>
  <si>
    <t>Expected return to fair value</t>
  </si>
  <si>
    <t>RATING (12 months)</t>
  </si>
  <si>
    <t>WHY — THE FOUR PILLARS OF THE CALL</t>
  </si>
  <si>
    <t>Growth prospects</t>
  </si>
  <si>
    <t>GOOD</t>
  </si>
  <si>
    <t>Competitive position</t>
  </si>
  <si>
    <t>STRONG BUT UNDER ATTACK</t>
  </si>
  <si>
    <t>Still the clear #1 with 50%+ of the branded market, an unmatched 1.7-lakh-shop network and the PreLux premium engine. But Birla Opus (₹10,000 Cr war-chest) and JSW/Akzo mean pricing power is no longer unquestioned.</t>
  </si>
  <si>
    <t>Financial strength</t>
  </si>
  <si>
    <t>EXCELLENT</t>
  </si>
  <si>
    <t>More cash than debt (~₹3,400 Cr net cash growing to ~₹11,000 Cr by FY31), interest covered 26–43 times, ROCE recovering toward 29%, record ₹7,088 Cr operating cash flow in FY26, 60% of profit paid as dividend every year.</t>
  </si>
  <si>
    <t>THE PROBLEM</t>
  </si>
  <si>
    <t>KEY RISKS TO THE CALL</t>
  </si>
  <si>
    <t>Downside risks</t>
  </si>
  <si>
    <t>(1) Birla Opus/JSW keep discounting and market share slips further; (2) crude oil spikes squeeze margins below the 18% floor; (3) the CCI investigation ends badly for the dealer network; (4) urban demand stays weak and the festive-season boost disappoints.</t>
  </si>
  <si>
    <t>Upside risks (what could make HOLD wrong)</t>
  </si>
  <si>
    <t>(1) Premiumisation runs faster than assumed and margins beat 20%; (2) VAM-VAE backward integration adds more margin than modelled from FY28; (3) competition rationalises early (discount war ends), re-rating the stock back to its 55–60 times historical multiple (≈ ₹2,700–2,960 on FY27E).</t>
  </si>
  <si>
    <t>WHAT TO DO — ACTION TRIGGERS</t>
  </si>
  <si>
    <t>If you own the stock</t>
  </si>
  <si>
    <t>If you want to buy</t>
  </si>
  <si>
    <t>Re-rate the call UP if</t>
  </si>
  <si>
    <t>Volume growth sustains above 10%, EBITDA margin crosses 20%, or Birla Opus visibly retreats from discounting.</t>
  </si>
  <si>
    <t>Re-rate the call DOWN if</t>
  </si>
  <si>
    <t>FY27 volume growth falls below 5%, margins break below 17%, or the CCI matter results in structural changes to the dealer network.</t>
  </si>
  <si>
    <t>Bottom line: a great company at a not-great price. HOLD.</t>
  </si>
  <si>
    <t>Trend</t>
  </si>
  <si>
    <t>(All figures in ₹ Crores except per-share data)</t>
  </si>
  <si>
    <t>Historicals</t>
  </si>
  <si>
    <t>Forecasts</t>
  </si>
  <si>
    <t>Actual</t>
  </si>
  <si>
    <t>BLUE - Constants</t>
  </si>
  <si>
    <t>BLACK - Formulas (same sheet)</t>
  </si>
  <si>
    <t>GREEN - Links to other sheets</t>
  </si>
  <si>
    <t>HISTORICAL FINANCIALS</t>
  </si>
  <si>
    <t>RATIO ANALYSIS</t>
  </si>
  <si>
    <t>FORECASTING ASSUMPTIONS</t>
  </si>
  <si>
    <t>WORKING CAPITAL SCHEDULE</t>
  </si>
  <si>
    <t>DEP &amp; CAPEX SCHEDULE</t>
  </si>
  <si>
    <t>DEBT SCHEDULE</t>
  </si>
  <si>
    <t>BALANCE SHEET</t>
  </si>
  <si>
    <t>CASH FLOW STATEMENT</t>
  </si>
  <si>
    <t>VALUATION</t>
  </si>
  <si>
    <t>INVESTMENT RECOMMENDATION</t>
  </si>
  <si>
    <t>sum of all asset lines</t>
  </si>
  <si>
    <t>NET CASH FLOW</t>
  </si>
  <si>
    <t>Total Debt (ICICI defn — incl. other debt-like items)</t>
  </si>
  <si>
    <t>Broader ICICI Direct definition. The model uses ₹3,929 Cr = borrowings ₹2,293 Cr + leases ₹1,636 Cr, which ties exactly to screener and company filings.</t>
  </si>
  <si>
    <t>Composition: cash ₹1,073.8 Cr + current investments ₹6,285.8 Cr + non-current investments ₹776.1 Cr — same consolidated basis throughout</t>
  </si>
  <si>
    <t>Decorative volume growth %</t>
  </si>
  <si>
    <t>Price / realisation / mix growth %</t>
  </si>
  <si>
    <t>~10.5–11% price hikes were taken in Q1FY27, but discounts compete much of it away; management expects the volume-value gap to settle at 3–4%. Net realisation gain ~4% in FY27, ~2.4% later.</t>
  </si>
  <si>
    <t>Now CALCULATED as (1 + volume) × (1 + price/mix) − 1 — the top line is built from operating drivers, not asserted.</t>
  </si>
  <si>
    <t>Treasury yield on opening cash &amp; investments %</t>
  </si>
  <si>
    <t>Interest/gains the cash pile earns: ~6.5% on liquid funds and treasury investments, applied to the OPENING balance each year — treasury income now follows the cash pile, not sales.</t>
  </si>
  <si>
    <t>Misc other income % of revenue</t>
  </si>
  <si>
    <t>Scrap sales, incentives, royalties etc. ~0.75% of sales. Calibration: 6.5% yield + 0.75% misc gives ₹625 Cr for FY26 vs ₹728 Cr actual (which had one-offs) — deliberately conservative.</t>
  </si>
  <si>
    <t>treasury yield × opening (cash + investments) + misc % of revenue</t>
  </si>
  <si>
    <t>FY26A shown on screener's FCF definition (CFO − FCF); company-reported FY26 gross PP&amp;E purchases were ~₹2,243 Cr (ICICI). Forecasts use capex % of revenue, so they are unaffected.</t>
  </si>
  <si>
    <t>6. SCENARIO ANALYSIS — BEAR / BASE / BULL (integrated operating cases)</t>
  </si>
  <si>
    <t>Case</t>
  </si>
  <si>
    <t>FCFF scale</t>
  </si>
  <si>
    <t>Terminal g</t>
  </si>
  <si>
    <t>DCF ₹/share</t>
  </si>
  <si>
    <t>FY27E EPS scale</t>
  </si>
  <si>
    <t>Relative ₹/share</t>
  </si>
  <si>
    <t>What the case assumes</t>
  </si>
  <si>
    <t>Bear</t>
  </si>
  <si>
    <t>Discount war continues: growth ~2pp lower, margins stay ~17.5%, working capital flat — FCFF ~15% lower; multiple de-rates to 40.</t>
  </si>
  <si>
    <t>Base</t>
  </si>
  <si>
    <t>The model's central case (as built above).</t>
  </si>
  <si>
    <t>Bull</t>
  </si>
  <si>
    <t>Premiumisation + VAM-VAE beat: margins cross 20%, competition rationalises — FCFF ~10% higher; re-rates to its historical 55 multiple.</t>
  </si>
  <si>
    <t>Even the Bull case's relative value only just reaches today's price — the market is already paying for the good outcome.</t>
  </si>
  <si>
    <t>Inventory days (of operating costs)</t>
  </si>
  <si>
    <t>FY26 actual: inventory ₹5,744 Cr ÷ operating costs ₹28,884 Cr × 365 ≈ 72.6 days. Stock relates to production COST, not sales price. Small yearly gains from the in-house raw-material plant, down to 68 days.</t>
  </si>
  <si>
    <t>Payable days (of operating costs)</t>
  </si>
  <si>
    <t>FY26 actual: payables ₹3,863 Cr ÷ operating costs ₹28,884 Cr × 365 ≈ 48.8 days. Supplier dues arise from purchases, so they are measured against costs — held at 49 days.</t>
  </si>
  <si>
    <t>Operating costs (COGS + opex)</t>
  </si>
  <si>
    <t>cost base for inventory &amp; payables</t>
  </si>
  <si>
    <t>Operating costs × inventory days ÷ 365</t>
  </si>
  <si>
    <t>Operating costs × payable days ÷ 365</t>
  </si>
  <si>
    <t>Stock measured against operating COST — ~2.5 months; FY25's 88 days was the bloat, FY26's ~73 the cleanest; assumptions ease it to 68 by FY31.</t>
  </si>
  <si>
    <t>Supplier credit against costs — steady around 49 days; big buyers keep good terms.</t>
  </si>
  <si>
    <t>Receivable + inventory − payable days: peaked ~84 in FY25, ~70 in FY26, improving to ~65 by FY31.</t>
  </si>
  <si>
    <t>Long-run inflation (~4%) plus up to half a percent of real growth. Kept deliberately conservative because it applies forever; the Bull scenario uses 5%.</t>
  </si>
  <si>
    <t>FCFF represents operating cash flows only; non-operating cash and investments are added separately in the EV-to-equity bridge.</t>
  </si>
  <si>
    <t>The integrated three-statement model balances with a ₹0 balance-sheet check across all forecast years; closing cash is derived from the cash-flow statement.</t>
  </si>
  <si>
    <t>Why FY27E CFO (~₹5,500 Cr) is below FY26A (₹7,088 Cr): FY26 enjoyed a one-off working-capital RELEASE (~₹1,460 Cr), while FY27 must fund ~₹790 Cr of extra working capital for 13% growth; tax outgo also rises with profit.</t>
  </si>
  <si>
    <t>HOLD — keep what you own, don't add fresh money at this price. The business is excellent but the price is ~11% ahead of fair value; a better entry is below ~₹2,140 (≈10% discount to fair value).</t>
  </si>
  <si>
    <t>Wait for ~₹2,140 or lower (≈10% below fair value), or for proof that market share has stabilised for 2–3 quarters with margins holding 19%+.</t>
  </si>
  <si>
    <t>Volumes are back (8.7% in FY26, 12.4% in the Jan–Mar quarter — best in 3 years). Management guides 8–10% volume growth; our model shows ~10.5% yearly sales growth and ≈12.5% PAT CAGR (FY26A–FY31E) to FY31.</t>
  </si>
  <si>
    <t>At ₹2,628 you pay 58 times last year's profit. Our fair value is ₹2,375 (48 times next year's profit — already below Berger's 51 times). The DCF (₹772) shows how much future growth is pre-paid in today's price. Price is ~11% above value.</t>
  </si>
  <si>
    <t>≈76% of enterprise value comes from the terminal value — treat the DCF as a cross-check and read it together with the sensitivity grid, not as a precise intrinsic value.</t>
  </si>
  <si>
    <t>Selection bridge: peer anchor ~51× (Berger) − ~5× discount for competitive intensity + ~2× premium for superior ROCE (26% vs 22%) ≈ 48×. Own 55–60× history is treated as a ceiling; 40×/55× serve as bear/bull.</t>
  </si>
  <si>
    <t>10-year G-Sec yield ~6.5% as of Aug-2026 (RBI/CCIL market data) — the return available with zero risk.</t>
  </si>
  <si>
    <t>Long-run India equity risk premium ~6% — consistent with widely used academic/consensus estimates (e.g., Damodaran).</t>
  </si>
  <si>
    <t>Raw beta vs Nifty 50 over 2–5 years is ~0.7–0.9 (exchange data); we use 0.85 with no adjustment.</t>
  </si>
  <si>
    <t>Management guides 8–10% volume growth for FY27; we take 8.5%, easing to 6.5% as competition persists. Implies industry volume growth of ~7–9% with broadly stable market share after FY25's losses.</t>
  </si>
  <si>
    <t>Spending on new factories (VAM-VAE) stays high in FY27–28 (5% / 4.5% of sales), then settles at ~4% of sales — enough for upkeep plus growth. FY24–26 averaged ~5.5% during the building phase. Roughly ₹1,300–1,500 Cr a year is maintenance (~2.5–3% of revenue); the rest is VAM-VAE completion and growth projects.</t>
  </si>
  <si>
    <t>Keep it. The franchise compounds ≈12.5% a year in our model and pays a growing dividend; selling a quality compounder for an 11% valuation gap usually costs more in taxes and re-entry timing than it saves.</t>
  </si>
  <si>
    <t>ASIAN PAINTS LTD (ASIANPAINT)</t>
  </si>
  <si>
    <t>5-year historical IS / BS / CF, ratios, market snapshot</t>
  </si>
  <si>
    <t>Liquidity, solvency, profitability, turnover, earnings ratios</t>
  </si>
  <si>
    <t>Forecast drivers with justification</t>
  </si>
  <si>
    <t>Receivables / inventory / payables via days assumptions</t>
  </si>
  <si>
    <t>Asset roll-forward: capex additions, depreciation</t>
  </si>
  <si>
    <t>Debt roll-forward, repayments, interest expense</t>
  </si>
  <si>
    <t>Projected P&amp;L FY27E-FY31E</t>
  </si>
  <si>
    <t>Projected balance sheet (balances by construction)</t>
  </si>
  <si>
    <t>Projected cash flow (cash links back to balance sheet)</t>
  </si>
  <si>
    <t>DCF (FCFF) + relative valuation + football field</t>
  </si>
  <si>
    <t>Buy / Hold / Sell with rationale and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</si>
</sst>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;\(#,##0.0\)"/>
    <numFmt numFmtId="166" formatCode="#,##0.0"/>
    <numFmt numFmtId="167" formatCode="dd/mmm/yyyy"/>
    <numFmt numFmtId="168" formatCode="0.0"/>
    <numFmt numFmtId="169" formatCode="0.000"/>
    <numFmt numFmtId="170" formatCode="#,##0.0;\(#,##0.0\);&quot;-&quot;"/>
  </numFmts>
  <fonts count="4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color rgb="FF000000"/>
      <name val="Arial"/>
    </font>
    <font>
      <i/>
      <sz val="9"/>
      <color rgb="FF666666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9"/>
      <color rgb="FF666666"/>
      <name val="Arial"/>
      <family val="2"/>
    </font>
    <font>
      <i/>
      <sz val="9"/>
      <color rgb="FF666666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14"/>
      <color rgb="FF0BA1A1"/>
      <name val="Arial"/>
      <family val="2"/>
    </font>
    <font>
      <b/>
      <sz val="10"/>
      <color rgb="FF0000FF"/>
      <name val="Arial"/>
    </font>
    <font>
      <sz val="10"/>
      <color rgb="FF0000FF"/>
      <name val="Arial"/>
    </font>
    <font>
      <b/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i/>
      <sz val="8"/>
      <color rgb="FF666666"/>
      <name val="Arial"/>
      <family val="2"/>
    </font>
    <font>
      <b/>
      <sz val="9"/>
      <color rgb="FF666666"/>
      <name val="Arial"/>
      <family val="2"/>
    </font>
    <font>
      <b/>
      <sz val="9"/>
      <color rgb="FF0000FF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color rgb="FF0000FF"/>
      <name val="Arial"/>
      <family val="2"/>
    </font>
    <font>
      <b/>
      <sz val="12"/>
      <color rgb="FF000000"/>
      <name val="Arial"/>
      <family val="2"/>
    </font>
    <font>
      <b/>
      <sz val="14"/>
      <color rgb="FFCC6600"/>
      <name val="Arial"/>
      <family val="2"/>
    </font>
    <font>
      <b/>
      <sz val="9"/>
      <color rgb="FF0BA1A1"/>
      <name val="Arial"/>
      <family val="2"/>
    </font>
    <font>
      <b/>
      <sz val="11"/>
      <color rgb="FF0BA1A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sz val="11"/>
      <color rgb="FF666666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  <font>
      <i/>
      <sz val="11"/>
      <color rgb="FF000000"/>
      <name val="Arial"/>
      <family val="2"/>
    </font>
    <font>
      <b/>
      <sz val="20"/>
      <color rgb="FFFFFFFF"/>
      <name val="Arial"/>
      <family val="2"/>
    </font>
    <font>
      <i/>
      <sz val="11"/>
      <color rgb="FFFFFFFF"/>
      <name val="Arial"/>
      <family val="2"/>
    </font>
    <font>
      <b/>
      <sz val="12"/>
      <color theme="0"/>
      <name val="Arial"/>
      <family val="2"/>
    </font>
    <font>
      <b/>
      <sz val="11"/>
      <color theme="5" tint="-0.499984740745262"/>
      <name val="Arial"/>
      <family val="2"/>
    </font>
    <font>
      <sz val="11"/>
      <color theme="5" tint="-0.499984740745262"/>
      <name val="Calibri"/>
      <family val="2"/>
      <scheme val="minor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8F3F3"/>
      </patternFill>
    </fill>
    <fill>
      <patternFill patternType="solid">
        <fgColor rgb="FF0BA1A1"/>
        <bgColor indexed="64"/>
      </patternFill>
    </fill>
    <fill>
      <patternFill patternType="solid">
        <fgColor rgb="FFDEF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right"/>
    </xf>
    <xf numFmtId="164" fontId="2" fillId="0" borderId="0" xfId="0" applyNumberFormat="1" applyFont="1"/>
    <xf numFmtId="0" fontId="5" fillId="0" borderId="0" xfId="0" applyFont="1"/>
    <xf numFmtId="0" fontId="7" fillId="0" borderId="0" xfId="0" applyFont="1"/>
    <xf numFmtId="3" fontId="10" fillId="0" borderId="0" xfId="0" applyNumberFormat="1" applyFont="1"/>
    <xf numFmtId="164" fontId="10" fillId="0" borderId="0" xfId="0" applyNumberFormat="1" applyFont="1"/>
    <xf numFmtId="0" fontId="0" fillId="3" borderId="0" xfId="0" applyFill="1"/>
    <xf numFmtId="164" fontId="13" fillId="0" borderId="0" xfId="0" applyNumberFormat="1" applyFont="1"/>
    <xf numFmtId="165" fontId="13" fillId="0" borderId="0" xfId="0" applyNumberFormat="1" applyFont="1"/>
    <xf numFmtId="0" fontId="14" fillId="0" borderId="0" xfId="0" applyFont="1"/>
    <xf numFmtId="0" fontId="6" fillId="0" borderId="0" xfId="0" applyFont="1" applyAlignment="1">
      <alignment vertical="top" wrapText="1"/>
    </xf>
    <xf numFmtId="166" fontId="10" fillId="0" borderId="0" xfId="0" applyNumberFormat="1" applyFont="1"/>
    <xf numFmtId="166" fontId="9" fillId="0" borderId="0" xfId="0" applyNumberFormat="1" applyFont="1"/>
    <xf numFmtId="164" fontId="9" fillId="0" borderId="0" xfId="0" applyNumberFormat="1" applyFont="1"/>
    <xf numFmtId="0" fontId="16" fillId="0" borderId="0" xfId="0" applyFont="1"/>
    <xf numFmtId="0" fontId="17" fillId="0" borderId="0" xfId="0" applyFont="1"/>
    <xf numFmtId="164" fontId="18" fillId="0" borderId="0" xfId="0" applyNumberFormat="1" applyFont="1"/>
    <xf numFmtId="164" fontId="18" fillId="0" borderId="0" xfId="0" applyNumberFormat="1" applyFont="1" applyAlignment="1">
      <alignment horizontal="right"/>
    </xf>
    <xf numFmtId="3" fontId="9" fillId="0" borderId="0" xfId="0" applyNumberFormat="1" applyFont="1"/>
    <xf numFmtId="0" fontId="20" fillId="0" borderId="0" xfId="1" applyFont="1"/>
    <xf numFmtId="2" fontId="10" fillId="0" borderId="0" xfId="0" applyNumberFormat="1" applyFont="1"/>
    <xf numFmtId="0" fontId="21" fillId="0" borderId="0" xfId="0" applyFont="1"/>
    <xf numFmtId="49" fontId="22" fillId="0" borderId="0" xfId="0" applyNumberFormat="1" applyFont="1"/>
    <xf numFmtId="0" fontId="23" fillId="0" borderId="0" xfId="0" applyFont="1" applyAlignment="1">
      <alignment vertical="top"/>
    </xf>
    <xf numFmtId="0" fontId="8" fillId="4" borderId="0" xfId="0" applyFont="1" applyFill="1" applyAlignment="1">
      <alignment horizontal="center"/>
    </xf>
    <xf numFmtId="0" fontId="25" fillId="3" borderId="0" xfId="0" applyFont="1" applyFill="1"/>
    <xf numFmtId="0" fontId="26" fillId="2" borderId="0" xfId="0" applyFont="1" applyFill="1" applyAlignment="1">
      <alignment horizontal="right"/>
    </xf>
    <xf numFmtId="0" fontId="26" fillId="0" borderId="0" xfId="0" applyFont="1"/>
    <xf numFmtId="0" fontId="28" fillId="0" borderId="0" xfId="0" applyFont="1"/>
    <xf numFmtId="164" fontId="28" fillId="0" borderId="0" xfId="0" applyNumberFormat="1" applyFont="1"/>
    <xf numFmtId="164" fontId="29" fillId="0" borderId="0" xfId="0" applyNumberFormat="1" applyFont="1"/>
    <xf numFmtId="165" fontId="29" fillId="0" borderId="0" xfId="0" applyNumberFormat="1" applyFont="1"/>
    <xf numFmtId="0" fontId="24" fillId="0" borderId="0" xfId="0" applyFont="1"/>
    <xf numFmtId="170" fontId="27" fillId="0" borderId="0" xfId="0" applyNumberFormat="1" applyFont="1"/>
    <xf numFmtId="170" fontId="12" fillId="0" borderId="0" xfId="0" applyNumberFormat="1" applyFont="1"/>
    <xf numFmtId="170" fontId="29" fillId="0" borderId="0" xfId="0" applyNumberFormat="1" applyFont="1"/>
    <xf numFmtId="170" fontId="13" fillId="0" borderId="0" xfId="0" applyNumberFormat="1" applyFont="1"/>
    <xf numFmtId="170" fontId="30" fillId="0" borderId="0" xfId="0" applyNumberFormat="1" applyFont="1"/>
    <xf numFmtId="170" fontId="4" fillId="0" borderId="0" xfId="0" applyNumberFormat="1" applyFont="1"/>
    <xf numFmtId="170" fontId="28" fillId="0" borderId="0" xfId="0" applyNumberFormat="1" applyFont="1"/>
    <xf numFmtId="170" fontId="2" fillId="0" borderId="0" xfId="0" applyNumberFormat="1" applyFont="1"/>
    <xf numFmtId="170" fontId="10" fillId="0" borderId="0" xfId="0" applyNumberFormat="1" applyFont="1"/>
    <xf numFmtId="0" fontId="30" fillId="0" borderId="0" xfId="0" applyFont="1" applyAlignment="1">
      <alignment horizontal="right"/>
    </xf>
    <xf numFmtId="167" fontId="29" fillId="0" borderId="0" xfId="0" applyNumberFormat="1" applyFont="1" applyAlignment="1">
      <alignment horizontal="right"/>
    </xf>
    <xf numFmtId="2" fontId="29" fillId="0" borderId="0" xfId="0" applyNumberFormat="1" applyFont="1"/>
    <xf numFmtId="49" fontId="33" fillId="0" borderId="0" xfId="0" applyNumberFormat="1" applyFont="1"/>
    <xf numFmtId="0" fontId="30" fillId="0" borderId="0" xfId="0" applyFont="1"/>
    <xf numFmtId="166" fontId="28" fillId="0" borderId="0" xfId="0" applyNumberFormat="1" applyFont="1"/>
    <xf numFmtId="166" fontId="34" fillId="0" borderId="0" xfId="0" applyNumberFormat="1" applyFont="1"/>
    <xf numFmtId="170" fontId="34" fillId="0" borderId="0" xfId="0" applyNumberFormat="1" applyFont="1"/>
    <xf numFmtId="164" fontId="34" fillId="0" borderId="0" xfId="0" applyNumberFormat="1" applyFont="1"/>
    <xf numFmtId="170" fontId="35" fillId="0" borderId="0" xfId="0" applyNumberFormat="1" applyFont="1"/>
    <xf numFmtId="0" fontId="36" fillId="0" borderId="0" xfId="0" applyFont="1"/>
    <xf numFmtId="170" fontId="36" fillId="0" borderId="0" xfId="0" applyNumberFormat="1" applyFont="1"/>
    <xf numFmtId="10" fontId="34" fillId="0" borderId="0" xfId="0" applyNumberFormat="1" applyFont="1"/>
    <xf numFmtId="10" fontId="28" fillId="0" borderId="0" xfId="0" applyNumberFormat="1" applyFont="1"/>
    <xf numFmtId="168" fontId="29" fillId="0" borderId="0" xfId="0" applyNumberFormat="1" applyFont="1"/>
    <xf numFmtId="169" fontId="28" fillId="0" borderId="0" xfId="0" applyNumberFormat="1" applyFont="1"/>
    <xf numFmtId="2" fontId="34" fillId="0" borderId="0" xfId="0" applyNumberFormat="1" applyFont="1"/>
    <xf numFmtId="3" fontId="30" fillId="0" borderId="0" xfId="0" applyNumberFormat="1" applyFont="1"/>
    <xf numFmtId="166" fontId="29" fillId="0" borderId="0" xfId="0" applyNumberFormat="1" applyFont="1"/>
    <xf numFmtId="3" fontId="28" fillId="0" borderId="0" xfId="0" applyNumberFormat="1" applyFont="1"/>
    <xf numFmtId="3" fontId="29" fillId="0" borderId="0" xfId="0" applyNumberFormat="1" applyFont="1"/>
    <xf numFmtId="3" fontId="34" fillId="0" borderId="0" xfId="0" applyNumberFormat="1" applyFont="1"/>
    <xf numFmtId="164" fontId="30" fillId="0" borderId="0" xfId="0" applyNumberFormat="1" applyFont="1"/>
    <xf numFmtId="49" fontId="30" fillId="0" borderId="0" xfId="0" applyNumberFormat="1" applyFont="1" applyAlignment="1">
      <alignment horizontal="right"/>
    </xf>
    <xf numFmtId="0" fontId="15" fillId="0" borderId="0" xfId="0" applyFont="1"/>
    <xf numFmtId="49" fontId="34" fillId="0" borderId="0" xfId="0" applyNumberFormat="1" applyFont="1"/>
    <xf numFmtId="0" fontId="30" fillId="0" borderId="0" xfId="0" applyFont="1" applyAlignment="1">
      <alignment vertical="top" wrapText="1"/>
    </xf>
    <xf numFmtId="0" fontId="30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0" fontId="26" fillId="0" borderId="1" xfId="0" applyFont="1" applyBorder="1"/>
    <xf numFmtId="170" fontId="30" fillId="0" borderId="1" xfId="0" applyNumberFormat="1" applyFont="1" applyBorder="1"/>
    <xf numFmtId="170" fontId="4" fillId="0" borderId="1" xfId="0" applyNumberFormat="1" applyFont="1" applyBorder="1"/>
    <xf numFmtId="170" fontId="27" fillId="0" borderId="1" xfId="0" applyNumberFormat="1" applyFont="1" applyBorder="1"/>
    <xf numFmtId="170" fontId="12" fillId="0" borderId="1" xfId="0" applyNumberFormat="1" applyFont="1" applyBorder="1"/>
    <xf numFmtId="0" fontId="26" fillId="0" borderId="2" xfId="0" applyFont="1" applyBorder="1"/>
    <xf numFmtId="170" fontId="30" fillId="0" borderId="2" xfId="0" applyNumberFormat="1" applyFont="1" applyBorder="1"/>
    <xf numFmtId="170" fontId="4" fillId="0" borderId="2" xfId="0" applyNumberFormat="1" applyFont="1" applyBorder="1"/>
    <xf numFmtId="0" fontId="30" fillId="0" borderId="1" xfId="0" applyFont="1" applyBorder="1"/>
    <xf numFmtId="170" fontId="35" fillId="0" borderId="1" xfId="0" applyNumberFormat="1" applyFont="1" applyBorder="1"/>
    <xf numFmtId="0" fontId="30" fillId="0" borderId="2" xfId="0" applyFont="1" applyBorder="1"/>
    <xf numFmtId="170" fontId="35" fillId="0" borderId="2" xfId="0" applyNumberFormat="1" applyFont="1" applyBorder="1"/>
    <xf numFmtId="0" fontId="0" fillId="0" borderId="1" xfId="0" applyBorder="1"/>
    <xf numFmtId="10" fontId="30" fillId="0" borderId="1" xfId="0" applyNumberFormat="1" applyFont="1" applyBorder="1"/>
    <xf numFmtId="3" fontId="30" fillId="0" borderId="1" xfId="0" applyNumberFormat="1" applyFont="1" applyBorder="1"/>
    <xf numFmtId="3" fontId="30" fillId="0" borderId="2" xfId="0" applyNumberFormat="1" applyFont="1" applyBorder="1"/>
    <xf numFmtId="0" fontId="0" fillId="0" borderId="2" xfId="0" applyBorder="1"/>
    <xf numFmtId="0" fontId="29" fillId="0" borderId="0" xfId="0" applyFont="1"/>
    <xf numFmtId="0" fontId="34" fillId="0" borderId="0" xfId="0" applyFont="1"/>
    <xf numFmtId="0" fontId="8" fillId="0" borderId="0" xfId="0" applyFont="1" applyAlignment="1">
      <alignment horizontal="right"/>
    </xf>
    <xf numFmtId="0" fontId="0" fillId="5" borderId="0" xfId="0" applyFill="1"/>
    <xf numFmtId="0" fontId="37" fillId="5" borderId="0" xfId="0" applyFont="1" applyFill="1"/>
    <xf numFmtId="0" fontId="38" fillId="5" borderId="0" xfId="0" applyFont="1" applyFill="1"/>
    <xf numFmtId="0" fontId="39" fillId="6" borderId="0" xfId="0" applyFont="1" applyFill="1"/>
    <xf numFmtId="0" fontId="25" fillId="5" borderId="0" xfId="0" applyFont="1" applyFill="1" applyAlignment="1">
      <alignment horizontal="center"/>
    </xf>
    <xf numFmtId="0" fontId="32" fillId="5" borderId="0" xfId="0" applyFont="1" applyFill="1"/>
    <xf numFmtId="0" fontId="25" fillId="5" borderId="0" xfId="0" applyFont="1" applyFill="1" applyAlignment="1">
      <alignment horizontal="right"/>
    </xf>
    <xf numFmtId="0" fontId="40" fillId="0" borderId="0" xfId="0" applyFont="1"/>
    <xf numFmtId="0" fontId="32" fillId="7" borderId="0" xfId="0" applyFont="1" applyFill="1"/>
    <xf numFmtId="0" fontId="25" fillId="7" borderId="0" xfId="0" applyFont="1" applyFill="1" applyAlignment="1">
      <alignment horizontal="right"/>
    </xf>
    <xf numFmtId="0" fontId="0" fillId="7" borderId="0" xfId="0" applyFill="1"/>
    <xf numFmtId="0" fontId="7" fillId="5" borderId="0" xfId="0" applyFont="1" applyFill="1"/>
    <xf numFmtId="0" fontId="41" fillId="0" borderId="0" xfId="0" applyFont="1"/>
    <xf numFmtId="0" fontId="25" fillId="8" borderId="0" xfId="0" applyFont="1" applyFill="1"/>
    <xf numFmtId="0" fontId="0" fillId="8" borderId="0" xfId="0" applyFill="1"/>
    <xf numFmtId="164" fontId="29" fillId="0" borderId="0" xfId="0" applyNumberFormat="1" applyFont="1" applyAlignment="1">
      <alignment horizontal="right"/>
    </xf>
    <xf numFmtId="0" fontId="7" fillId="0" borderId="0" xfId="0" applyFont="1" applyAlignment="1">
      <alignment vertical="top" wrapText="1"/>
    </xf>
    <xf numFmtId="0" fontId="14" fillId="0" borderId="0" xfId="0" applyFont="1" applyAlignment="1">
      <alignment horizontal="right"/>
    </xf>
    <xf numFmtId="2" fontId="42" fillId="0" borderId="0" xfId="0" applyNumberFormat="1" applyFont="1"/>
    <xf numFmtId="164" fontId="42" fillId="0" borderId="0" xfId="0" applyNumberFormat="1" applyFont="1"/>
    <xf numFmtId="3" fontId="5" fillId="0" borderId="0" xfId="0" applyNumberFormat="1" applyFont="1"/>
    <xf numFmtId="166" fontId="42" fillId="0" borderId="0" xfId="0" applyNumberFormat="1" applyFont="1"/>
    <xf numFmtId="164" fontId="5" fillId="0" borderId="0" xfId="0" applyNumberFormat="1" applyFont="1"/>
    <xf numFmtId="3" fontId="14" fillId="0" borderId="0" xfId="0" applyNumberFormat="1" applyFont="1"/>
    <xf numFmtId="166" fontId="5" fillId="0" borderId="0" xfId="0" applyNumberFormat="1" applyFont="1"/>
    <xf numFmtId="166" fontId="10" fillId="0" borderId="0" xfId="0" applyNumberFormat="1" applyFont="1" applyAlignment="1">
      <alignment vertical="top"/>
    </xf>
    <xf numFmtId="166" fontId="9" fillId="0" borderId="0" xfId="0" applyNumberFormat="1" applyFont="1" applyAlignment="1">
      <alignment vertical="top"/>
    </xf>
    <xf numFmtId="0" fontId="23" fillId="0" borderId="0" xfId="0" applyFont="1" applyAlignment="1">
      <alignment vertical="top" wrapText="1"/>
    </xf>
    <xf numFmtId="0" fontId="31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2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zoomScale="110" zoomScaleNormal="110" workbookViewId="0"/>
  </sheetViews>
  <sheetFormatPr defaultRowHeight="14.4" x14ac:dyDescent="0.3"/>
  <cols>
    <col min="1" max="1" width="3" customWidth="1"/>
    <col min="2" max="2" width="40" customWidth="1"/>
    <col min="3" max="3" width="60" customWidth="1"/>
    <col min="4" max="4" width="32.77734375" customWidth="1"/>
  </cols>
  <sheetData>
    <row r="1" spans="1:8" x14ac:dyDescent="0.3">
      <c r="A1" s="95"/>
      <c r="B1" s="95"/>
      <c r="C1" s="95"/>
      <c r="D1" s="95"/>
      <c r="E1" s="95"/>
      <c r="F1" s="95"/>
      <c r="G1" s="95"/>
      <c r="H1" s="95"/>
    </row>
    <row r="2" spans="1:8" ht="24.6" x14ac:dyDescent="0.4">
      <c r="A2" s="95"/>
      <c r="B2" s="96" t="s">
        <v>482</v>
      </c>
      <c r="C2" s="95"/>
      <c r="D2" s="95"/>
      <c r="E2" s="95"/>
      <c r="F2" s="95"/>
      <c r="G2" s="95"/>
      <c r="H2" s="95"/>
    </row>
    <row r="3" spans="1:8" x14ac:dyDescent="0.3">
      <c r="A3" s="95"/>
      <c r="B3" s="97" t="s">
        <v>0</v>
      </c>
      <c r="C3" s="95"/>
      <c r="D3" s="95"/>
      <c r="E3" s="95"/>
      <c r="F3" s="95"/>
      <c r="G3" s="95"/>
      <c r="H3" s="95"/>
    </row>
    <row r="4" spans="1:8" x14ac:dyDescent="0.3">
      <c r="A4" s="95"/>
      <c r="B4" s="95"/>
      <c r="C4" s="95"/>
      <c r="D4" s="95"/>
      <c r="E4" s="95"/>
      <c r="F4" s="95"/>
      <c r="G4" s="95"/>
      <c r="H4" s="95"/>
    </row>
    <row r="6" spans="1:8" x14ac:dyDescent="0.3">
      <c r="B6" s="1" t="s">
        <v>1</v>
      </c>
      <c r="C6" s="2" t="s">
        <v>2</v>
      </c>
      <c r="D6" s="92" t="s">
        <v>412</v>
      </c>
    </row>
    <row r="7" spans="1:8" x14ac:dyDescent="0.3">
      <c r="B7" s="1" t="s">
        <v>3</v>
      </c>
      <c r="C7" s="2" t="s">
        <v>4</v>
      </c>
      <c r="D7" s="32" t="s">
        <v>413</v>
      </c>
    </row>
    <row r="8" spans="1:8" x14ac:dyDescent="0.3">
      <c r="B8" s="1" t="s">
        <v>5</v>
      </c>
      <c r="C8" s="2" t="s">
        <v>6</v>
      </c>
      <c r="D8" s="93" t="s">
        <v>414</v>
      </c>
    </row>
    <row r="9" spans="1:8" x14ac:dyDescent="0.3">
      <c r="B9" s="1" t="s">
        <v>7</v>
      </c>
      <c r="C9" s="2" t="s">
        <v>8</v>
      </c>
    </row>
    <row r="10" spans="1:8" x14ac:dyDescent="0.3">
      <c r="B10" s="1" t="s">
        <v>9</v>
      </c>
      <c r="C10" s="2" t="s">
        <v>10</v>
      </c>
    </row>
    <row r="11" spans="1:8" x14ac:dyDescent="0.3">
      <c r="B11" s="1" t="s">
        <v>11</v>
      </c>
      <c r="C11" s="2" t="s">
        <v>12</v>
      </c>
    </row>
    <row r="12" spans="1:8" x14ac:dyDescent="0.3">
      <c r="B12" s="1" t="s">
        <v>13</v>
      </c>
      <c r="C12" s="2" t="s">
        <v>14</v>
      </c>
    </row>
    <row r="13" spans="1:8" x14ac:dyDescent="0.3">
      <c r="B13" s="1" t="s">
        <v>15</v>
      </c>
      <c r="C13" s="2" t="s">
        <v>16</v>
      </c>
    </row>
    <row r="15" spans="1:8" ht="15.6" x14ac:dyDescent="0.3">
      <c r="B15" s="98" t="s">
        <v>17</v>
      </c>
    </row>
    <row r="16" spans="1:8" x14ac:dyDescent="0.3">
      <c r="B16" s="23" t="s">
        <v>18</v>
      </c>
      <c r="C16" s="2" t="s">
        <v>483</v>
      </c>
    </row>
    <row r="17" spans="2:3" x14ac:dyDescent="0.3">
      <c r="B17" s="23" t="s">
        <v>19</v>
      </c>
      <c r="C17" s="2" t="s">
        <v>484</v>
      </c>
    </row>
    <row r="18" spans="2:3" x14ac:dyDescent="0.3">
      <c r="B18" s="23" t="s">
        <v>20</v>
      </c>
      <c r="C18" s="2" t="s">
        <v>485</v>
      </c>
    </row>
    <row r="19" spans="2:3" x14ac:dyDescent="0.3">
      <c r="B19" s="23" t="s">
        <v>97</v>
      </c>
      <c r="C19" s="6" t="s">
        <v>486</v>
      </c>
    </row>
    <row r="20" spans="2:3" x14ac:dyDescent="0.3">
      <c r="B20" s="23" t="s">
        <v>98</v>
      </c>
      <c r="C20" s="6" t="s">
        <v>487</v>
      </c>
    </row>
    <row r="21" spans="2:3" x14ac:dyDescent="0.3">
      <c r="B21" s="23" t="s">
        <v>99</v>
      </c>
      <c r="C21" s="6" t="s">
        <v>488</v>
      </c>
    </row>
    <row r="22" spans="2:3" x14ac:dyDescent="0.3">
      <c r="B22" s="23" t="s">
        <v>21</v>
      </c>
      <c r="C22" s="2" t="s">
        <v>489</v>
      </c>
    </row>
    <row r="23" spans="2:3" x14ac:dyDescent="0.3">
      <c r="B23" s="23" t="s">
        <v>22</v>
      </c>
      <c r="C23" s="2" t="s">
        <v>490</v>
      </c>
    </row>
    <row r="24" spans="2:3" x14ac:dyDescent="0.3">
      <c r="B24" s="23" t="s">
        <v>23</v>
      </c>
      <c r="C24" s="2" t="s">
        <v>491</v>
      </c>
    </row>
    <row r="25" spans="2:3" x14ac:dyDescent="0.3">
      <c r="B25" s="23" t="s">
        <v>24</v>
      </c>
      <c r="C25" s="2" t="s">
        <v>492</v>
      </c>
    </row>
    <row r="26" spans="2:3" x14ac:dyDescent="0.3">
      <c r="B26" s="23" t="s">
        <v>25</v>
      </c>
      <c r="C26" s="2" t="s">
        <v>493</v>
      </c>
    </row>
  </sheetData>
  <hyperlinks>
    <hyperlink ref="B16" location="'Historical Data'!A1" display="'Historical Data'!A1" xr:uid="{47B614AD-42BF-42BB-861F-145DCF7495A5}"/>
    <hyperlink ref="B17" location="'Ratio Analysis'!A1" display="'Ratio Analysis'!A1" xr:uid="{7FE26112-1D4A-4EB9-998D-EA69A18A0295}"/>
    <hyperlink ref="B18" location="'Assumptions'!A1" display="'Assumptions'!A1" xr:uid="{10070A22-039B-43FE-94F2-09C8BACD81FD}"/>
    <hyperlink ref="B19" location="'Working Capital Schedule'!A1" display="'Working Capital Schedule'!A1" xr:uid="{C7B53E89-CE2E-4AAE-915B-57482A7E72A1}"/>
    <hyperlink ref="B20" location="'Dep &amp; Capex Schedule'!A1" display="'Dep &amp; Capex Schedule'!A1" xr:uid="{2CAC196B-5637-448B-A6EE-4EF5CE440ABA}"/>
    <hyperlink ref="B21" location="'Debt Schedule'!A1" display="'Debt Schedule'!A1" xr:uid="{B81DFD39-02E1-4D6B-A4C4-BA0ED57CBDD2}"/>
    <hyperlink ref="B22" location="'Income Statement'!A1" display="'Income Statement'!A1" xr:uid="{2FC8E779-89E7-4A41-B911-ABFFB388A09D}"/>
    <hyperlink ref="B23" location="'Balance Sheet'!A1" display="'Balance Sheet'!A1" xr:uid="{3967BED0-46CB-45D4-B68A-DCF9686EB078}"/>
    <hyperlink ref="B24" location="'Cash Flow'!A1" display="'Cash Flow'!A1" xr:uid="{B7E39AA3-FC5B-4FB0-A78B-FAA43712C936}"/>
    <hyperlink ref="B25" location="'Valuation'!A1" display="'Valuation'!A1" xr:uid="{F6A70270-C539-49B0-8A58-92CD42CC53C4}"/>
    <hyperlink ref="B26" location="Recommendation!A1" display="Recommendation!A1" xr:uid="{47224A78-B6F3-4128-B62B-F2CD5A2BF4D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8350-0B25-4319-8E25-92106D5519D7}">
  <sheetPr>
    <pageSetUpPr fitToPage="1"/>
  </sheetPr>
  <dimension ref="A1:H84"/>
  <sheetViews>
    <sheetView showGridLines="0" zoomScale="110" zoomScaleNormal="110"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42.77734375" customWidth="1"/>
    <col min="3" max="7" width="13.33203125" customWidth="1"/>
    <col min="8" max="8" width="13" customWidth="1"/>
  </cols>
  <sheetData>
    <row r="1" spans="1:7" ht="14.4" customHeight="1" x14ac:dyDescent="0.3">
      <c r="A1" s="123" t="s">
        <v>415</v>
      </c>
      <c r="B1" s="123"/>
      <c r="C1" s="125"/>
      <c r="D1" s="126"/>
      <c r="E1" s="126"/>
      <c r="F1" s="126"/>
      <c r="G1" s="126"/>
    </row>
    <row r="2" spans="1:7" x14ac:dyDescent="0.3">
      <c r="A2" s="95"/>
      <c r="B2" s="100" t="s">
        <v>408</v>
      </c>
      <c r="C2" s="101" t="s">
        <v>28</v>
      </c>
      <c r="D2" s="101" t="s">
        <v>29</v>
      </c>
      <c r="E2" s="101" t="s">
        <v>30</v>
      </c>
      <c r="F2" s="101" t="s">
        <v>31</v>
      </c>
      <c r="G2" s="101" t="s">
        <v>32</v>
      </c>
    </row>
    <row r="3" spans="1:7" x14ac:dyDescent="0.3">
      <c r="A3" s="105"/>
      <c r="B3" s="103"/>
      <c r="C3" s="104"/>
      <c r="D3" s="104"/>
      <c r="E3" s="104"/>
      <c r="F3" s="104"/>
      <c r="G3" s="104"/>
    </row>
    <row r="4" spans="1:7" x14ac:dyDescent="0.3">
      <c r="B4" s="102" t="s">
        <v>26</v>
      </c>
    </row>
    <row r="5" spans="1:7" x14ac:dyDescent="0.3">
      <c r="B5" s="3" t="s">
        <v>27</v>
      </c>
      <c r="C5" s="30" t="s">
        <v>28</v>
      </c>
      <c r="D5" s="30" t="s">
        <v>29</v>
      </c>
      <c r="E5" s="30" t="s">
        <v>30</v>
      </c>
      <c r="F5" s="30" t="s">
        <v>31</v>
      </c>
      <c r="G5" s="4" t="s">
        <v>32</v>
      </c>
    </row>
    <row r="6" spans="1:7" x14ac:dyDescent="0.3">
      <c r="B6" s="31" t="s">
        <v>33</v>
      </c>
      <c r="C6" s="37">
        <v>29101</v>
      </c>
      <c r="D6" s="37">
        <v>34489</v>
      </c>
      <c r="E6" s="37">
        <v>35495</v>
      </c>
      <c r="F6" s="37">
        <v>33906</v>
      </c>
      <c r="G6" s="38">
        <v>35584</v>
      </c>
    </row>
    <row r="7" spans="1:7" x14ac:dyDescent="0.3">
      <c r="B7" s="32" t="s">
        <v>34</v>
      </c>
      <c r="C7" s="39">
        <v>24298</v>
      </c>
      <c r="D7" s="39">
        <v>28229</v>
      </c>
      <c r="E7" s="39">
        <v>27910</v>
      </c>
      <c r="F7" s="39">
        <v>27899</v>
      </c>
      <c r="G7" s="40">
        <v>28884</v>
      </c>
    </row>
    <row r="8" spans="1:7" x14ac:dyDescent="0.3">
      <c r="B8" s="75" t="s">
        <v>35</v>
      </c>
      <c r="C8" s="76">
        <f>C6-C7</f>
        <v>4803</v>
      </c>
      <c r="D8" s="76">
        <f>D6-D7</f>
        <v>6260</v>
      </c>
      <c r="E8" s="76">
        <f>E6-E7</f>
        <v>7585</v>
      </c>
      <c r="F8" s="76">
        <f>F6-F7</f>
        <v>6007</v>
      </c>
      <c r="G8" s="77">
        <f>G6-G7</f>
        <v>6700</v>
      </c>
    </row>
    <row r="9" spans="1:7" x14ac:dyDescent="0.3">
      <c r="B9" s="32" t="s">
        <v>36</v>
      </c>
      <c r="C9" s="33">
        <f>C8/C6</f>
        <v>0.16504587471220919</v>
      </c>
      <c r="D9" s="33">
        <f>D8/D6</f>
        <v>0.18150714720635566</v>
      </c>
      <c r="E9" s="33">
        <f>E8/E6</f>
        <v>0.213692069305536</v>
      </c>
      <c r="F9" s="33">
        <f>F8/F6</f>
        <v>0.1771662832537014</v>
      </c>
      <c r="G9" s="5">
        <f>G8/G6</f>
        <v>0.18828687050359713</v>
      </c>
    </row>
    <row r="10" spans="1:7" x14ac:dyDescent="0.3">
      <c r="B10" s="32" t="s">
        <v>37</v>
      </c>
      <c r="C10" s="39">
        <v>296</v>
      </c>
      <c r="D10" s="39">
        <v>431</v>
      </c>
      <c r="E10" s="39">
        <v>821</v>
      </c>
      <c r="F10" s="39">
        <v>350</v>
      </c>
      <c r="G10" s="40">
        <v>728</v>
      </c>
    </row>
    <row r="11" spans="1:7" x14ac:dyDescent="0.3">
      <c r="B11" s="32" t="s">
        <v>38</v>
      </c>
      <c r="C11" s="39">
        <v>95</v>
      </c>
      <c r="D11" s="39">
        <v>144</v>
      </c>
      <c r="E11" s="39">
        <v>205</v>
      </c>
      <c r="F11" s="39">
        <v>227</v>
      </c>
      <c r="G11" s="40">
        <v>195</v>
      </c>
    </row>
    <row r="12" spans="1:7" x14ac:dyDescent="0.3">
      <c r="B12" s="32" t="s">
        <v>39</v>
      </c>
      <c r="C12" s="39">
        <v>816</v>
      </c>
      <c r="D12" s="39">
        <v>858</v>
      </c>
      <c r="E12" s="39">
        <v>853</v>
      </c>
      <c r="F12" s="39">
        <v>1026</v>
      </c>
      <c r="G12" s="40">
        <v>1229</v>
      </c>
    </row>
    <row r="13" spans="1:7" x14ac:dyDescent="0.3">
      <c r="B13" s="75" t="s">
        <v>40</v>
      </c>
      <c r="C13" s="76">
        <f>C8+C10-C11-C12</f>
        <v>4188</v>
      </c>
      <c r="D13" s="76">
        <f>D8+D10-D11-D12</f>
        <v>5689</v>
      </c>
      <c r="E13" s="76">
        <f>E8+E10-E11-E12</f>
        <v>7348</v>
      </c>
      <c r="F13" s="76">
        <f>F8+F10-F11-F12</f>
        <v>5104</v>
      </c>
      <c r="G13" s="77">
        <f>G8+G10-G11-G12</f>
        <v>6004</v>
      </c>
    </row>
    <row r="14" spans="1:7" x14ac:dyDescent="0.3">
      <c r="B14" s="32" t="s">
        <v>41</v>
      </c>
      <c r="C14" s="34">
        <v>0.26</v>
      </c>
      <c r="D14" s="34">
        <v>0.26</v>
      </c>
      <c r="E14" s="34">
        <v>0.24</v>
      </c>
      <c r="F14" s="34">
        <v>0.27</v>
      </c>
      <c r="G14" s="11">
        <v>0.27</v>
      </c>
    </row>
    <row r="15" spans="1:7" x14ac:dyDescent="0.3">
      <c r="B15" s="75" t="s">
        <v>42</v>
      </c>
      <c r="C15" s="78">
        <v>3085</v>
      </c>
      <c r="D15" s="78">
        <v>4195</v>
      </c>
      <c r="E15" s="78">
        <v>5558</v>
      </c>
      <c r="F15" s="78">
        <v>3710</v>
      </c>
      <c r="G15" s="79">
        <v>4395</v>
      </c>
    </row>
    <row r="16" spans="1:7" x14ac:dyDescent="0.3">
      <c r="B16" s="32" t="s">
        <v>43</v>
      </c>
      <c r="C16" s="33">
        <f>C15/C6</f>
        <v>0.10601010274561011</v>
      </c>
      <c r="D16" s="33">
        <f>D15/D6</f>
        <v>0.12163298442981821</v>
      </c>
      <c r="E16" s="33">
        <f>E15/E6</f>
        <v>0.15658543456824905</v>
      </c>
      <c r="F16" s="33">
        <f>F15/F6</f>
        <v>0.1094201616233115</v>
      </c>
      <c r="G16" s="5">
        <f>G15/G6</f>
        <v>0.1235105665467626</v>
      </c>
    </row>
    <row r="17" spans="2:7" x14ac:dyDescent="0.3">
      <c r="B17" s="32" t="s">
        <v>44</v>
      </c>
      <c r="C17" s="35">
        <v>31.59</v>
      </c>
      <c r="D17" s="35">
        <v>42.81</v>
      </c>
      <c r="E17" s="35">
        <v>56.92</v>
      </c>
      <c r="F17" s="35">
        <v>38.229999999999997</v>
      </c>
      <c r="G17" s="12">
        <v>45.09</v>
      </c>
    </row>
    <row r="18" spans="2:7" x14ac:dyDescent="0.3">
      <c r="B18" s="32" t="s">
        <v>45</v>
      </c>
      <c r="C18" s="34">
        <v>0.61</v>
      </c>
      <c r="D18" s="34">
        <v>0.6</v>
      </c>
      <c r="E18" s="34">
        <v>0.57999999999999996</v>
      </c>
      <c r="F18" s="34">
        <v>0.65</v>
      </c>
      <c r="G18" s="11">
        <v>0.61</v>
      </c>
    </row>
    <row r="19" spans="2:7" x14ac:dyDescent="0.3">
      <c r="B19" s="32" t="s">
        <v>46</v>
      </c>
      <c r="C19" s="33"/>
      <c r="D19" s="33">
        <f>D6/C6-1</f>
        <v>0.18514827669152267</v>
      </c>
      <c r="E19" s="33">
        <f>E6/D6-1</f>
        <v>2.9168720461596465E-2</v>
      </c>
      <c r="F19" s="33">
        <f>F6/E6-1</f>
        <v>-4.4766868573038465E-2</v>
      </c>
      <c r="G19" s="5">
        <f>G6/F6-1</f>
        <v>4.9489765823158116E-2</v>
      </c>
    </row>
    <row r="21" spans="2:7" x14ac:dyDescent="0.3">
      <c r="B21" s="102" t="s">
        <v>47</v>
      </c>
    </row>
    <row r="22" spans="2:7" x14ac:dyDescent="0.3">
      <c r="B22" s="3" t="s">
        <v>27</v>
      </c>
      <c r="C22" s="30" t="s">
        <v>28</v>
      </c>
      <c r="D22" s="30" t="s">
        <v>29</v>
      </c>
      <c r="E22" s="30" t="s">
        <v>30</v>
      </c>
      <c r="F22" s="30" t="s">
        <v>31</v>
      </c>
      <c r="G22" s="4" t="s">
        <v>32</v>
      </c>
    </row>
    <row r="23" spans="2:7" x14ac:dyDescent="0.3">
      <c r="B23" s="32" t="s">
        <v>48</v>
      </c>
      <c r="C23" s="39">
        <v>96</v>
      </c>
      <c r="D23" s="39">
        <v>96</v>
      </c>
      <c r="E23" s="39">
        <v>96</v>
      </c>
      <c r="F23" s="39">
        <v>96</v>
      </c>
      <c r="G23" s="40">
        <v>96</v>
      </c>
    </row>
    <row r="24" spans="2:7" x14ac:dyDescent="0.3">
      <c r="B24" s="32" t="s">
        <v>49</v>
      </c>
      <c r="C24" s="39">
        <v>13716</v>
      </c>
      <c r="D24" s="39">
        <v>15896</v>
      </c>
      <c r="E24" s="39">
        <v>18632</v>
      </c>
      <c r="F24" s="39">
        <v>19304</v>
      </c>
      <c r="G24" s="40">
        <v>21276</v>
      </c>
    </row>
    <row r="25" spans="2:7" x14ac:dyDescent="0.3">
      <c r="B25" s="31" t="s">
        <v>50</v>
      </c>
      <c r="C25" s="41">
        <f>C23+C24</f>
        <v>13812</v>
      </c>
      <c r="D25" s="41">
        <f>D23+D24</f>
        <v>15992</v>
      </c>
      <c r="E25" s="41">
        <f>E23+E24</f>
        <v>18728</v>
      </c>
      <c r="F25" s="41">
        <f>F23+F24</f>
        <v>19400</v>
      </c>
      <c r="G25" s="42">
        <f>G23+G24</f>
        <v>21372</v>
      </c>
    </row>
    <row r="26" spans="2:7" x14ac:dyDescent="0.3">
      <c r="B26" s="32" t="s">
        <v>51</v>
      </c>
      <c r="C26" s="39">
        <v>1587</v>
      </c>
      <c r="D26" s="39">
        <v>1933</v>
      </c>
      <c r="E26" s="39">
        <v>2474</v>
      </c>
      <c r="F26" s="39">
        <v>2290</v>
      </c>
      <c r="G26" s="40">
        <v>3929</v>
      </c>
    </row>
    <row r="27" spans="2:7" x14ac:dyDescent="0.3">
      <c r="B27" s="32" t="s">
        <v>52</v>
      </c>
      <c r="C27" s="39">
        <v>7560</v>
      </c>
      <c r="D27" s="39">
        <v>7854</v>
      </c>
      <c r="E27" s="39">
        <v>8698</v>
      </c>
      <c r="F27" s="39">
        <v>8665</v>
      </c>
      <c r="G27" s="40">
        <v>9218</v>
      </c>
    </row>
    <row r="28" spans="2:7" x14ac:dyDescent="0.3">
      <c r="B28" s="80" t="s">
        <v>53</v>
      </c>
      <c r="C28" s="81">
        <f>C25+C26+C27</f>
        <v>22959</v>
      </c>
      <c r="D28" s="81">
        <f>D25+D26+D27</f>
        <v>25779</v>
      </c>
      <c r="E28" s="81">
        <f>E25+E26+E27</f>
        <v>29900</v>
      </c>
      <c r="F28" s="81">
        <f>F25+F26+F27</f>
        <v>30355</v>
      </c>
      <c r="G28" s="82">
        <f>G25+G26+G27</f>
        <v>34519</v>
      </c>
    </row>
    <row r="29" spans="2:7" x14ac:dyDescent="0.3">
      <c r="B29" s="32" t="s">
        <v>54</v>
      </c>
      <c r="C29" s="39">
        <v>5519</v>
      </c>
      <c r="D29" s="39">
        <v>5770</v>
      </c>
      <c r="E29" s="39">
        <v>7147</v>
      </c>
      <c r="F29" s="39">
        <v>9220</v>
      </c>
      <c r="G29" s="40">
        <v>9640</v>
      </c>
    </row>
    <row r="30" spans="2:7" x14ac:dyDescent="0.3">
      <c r="B30" s="32" t="s">
        <v>55</v>
      </c>
      <c r="C30" s="39">
        <v>426</v>
      </c>
      <c r="D30" s="39">
        <v>1020</v>
      </c>
      <c r="E30" s="39">
        <v>2698</v>
      </c>
      <c r="F30" s="39">
        <v>1254</v>
      </c>
      <c r="G30" s="40">
        <v>1849</v>
      </c>
    </row>
    <row r="31" spans="2:7" x14ac:dyDescent="0.3">
      <c r="B31" s="32" t="s">
        <v>56</v>
      </c>
      <c r="C31" s="39">
        <v>3248</v>
      </c>
      <c r="D31" s="39">
        <v>4262</v>
      </c>
      <c r="E31" s="39">
        <v>4588</v>
      </c>
      <c r="F31" s="39">
        <v>4725</v>
      </c>
      <c r="G31" s="40">
        <v>7062</v>
      </c>
    </row>
    <row r="32" spans="2:7" x14ac:dyDescent="0.3">
      <c r="B32" s="32" t="s">
        <v>57</v>
      </c>
      <c r="C32" s="39">
        <v>13766</v>
      </c>
      <c r="D32" s="39">
        <v>14727</v>
      </c>
      <c r="E32" s="39">
        <v>15467</v>
      </c>
      <c r="F32" s="39">
        <v>15156</v>
      </c>
      <c r="G32" s="40">
        <v>15968</v>
      </c>
    </row>
    <row r="33" spans="2:7" x14ac:dyDescent="0.3">
      <c r="B33" s="80" t="s">
        <v>58</v>
      </c>
      <c r="C33" s="81">
        <f>C29+C30+C31+C32</f>
        <v>22959</v>
      </c>
      <c r="D33" s="81">
        <f>D29+D30+D31+D32</f>
        <v>25779</v>
      </c>
      <c r="E33" s="81">
        <f>E29+E30+E31+E32</f>
        <v>29900</v>
      </c>
      <c r="F33" s="81">
        <f>F29+F30+F31+F32</f>
        <v>30355</v>
      </c>
      <c r="G33" s="82">
        <f>G29+G30+G31+G32</f>
        <v>34519</v>
      </c>
    </row>
    <row r="34" spans="2:7" x14ac:dyDescent="0.3">
      <c r="B34" s="32" t="s">
        <v>59</v>
      </c>
      <c r="C34" s="43">
        <f>C28-C33</f>
        <v>0</v>
      </c>
      <c r="D34" s="43">
        <f>D28-D33</f>
        <v>0</v>
      </c>
      <c r="E34" s="43">
        <f>E28-E33</f>
        <v>0</v>
      </c>
      <c r="F34" s="43">
        <f>F28-F33</f>
        <v>0</v>
      </c>
      <c r="G34" s="44">
        <f>G28-G33</f>
        <v>0</v>
      </c>
    </row>
    <row r="36" spans="2:7" x14ac:dyDescent="0.3">
      <c r="B36" s="102" t="s">
        <v>60</v>
      </c>
    </row>
    <row r="37" spans="2:7" x14ac:dyDescent="0.3">
      <c r="B37" s="3" t="s">
        <v>27</v>
      </c>
      <c r="C37" s="30" t="s">
        <v>28</v>
      </c>
      <c r="D37" s="30" t="s">
        <v>29</v>
      </c>
      <c r="E37" s="30" t="s">
        <v>30</v>
      </c>
      <c r="F37" s="30" t="s">
        <v>31</v>
      </c>
      <c r="G37" s="4" t="s">
        <v>32</v>
      </c>
    </row>
    <row r="38" spans="2:7" x14ac:dyDescent="0.3">
      <c r="B38" s="31" t="s">
        <v>61</v>
      </c>
      <c r="C38" s="37">
        <v>986</v>
      </c>
      <c r="D38" s="37">
        <v>4193</v>
      </c>
      <c r="E38" s="37">
        <v>6104</v>
      </c>
      <c r="F38" s="37">
        <v>4424</v>
      </c>
      <c r="G38" s="38">
        <v>7088</v>
      </c>
    </row>
    <row r="39" spans="2:7" x14ac:dyDescent="0.3">
      <c r="B39" s="32" t="s">
        <v>62</v>
      </c>
      <c r="C39" s="39">
        <v>-317</v>
      </c>
      <c r="D39" s="39">
        <v>-1282</v>
      </c>
      <c r="E39" s="39">
        <v>-2548</v>
      </c>
      <c r="F39" s="39">
        <v>-941</v>
      </c>
      <c r="G39" s="40">
        <v>-1328</v>
      </c>
    </row>
    <row r="40" spans="2:7" x14ac:dyDescent="0.3">
      <c r="B40" s="32" t="s">
        <v>63</v>
      </c>
      <c r="C40" s="39">
        <v>-1808</v>
      </c>
      <c r="D40" s="39">
        <v>-2140</v>
      </c>
      <c r="E40" s="39">
        <v>-2982</v>
      </c>
      <c r="F40" s="39">
        <v>-3753</v>
      </c>
      <c r="G40" s="40">
        <v>-2377</v>
      </c>
    </row>
    <row r="41" spans="2:7" x14ac:dyDescent="0.3">
      <c r="B41" s="75" t="s">
        <v>64</v>
      </c>
      <c r="C41" s="76">
        <f>C38+C39+C40</f>
        <v>-1139</v>
      </c>
      <c r="D41" s="76">
        <f>D38+D39+D40</f>
        <v>771</v>
      </c>
      <c r="E41" s="76">
        <f>E38+E39+E40</f>
        <v>574</v>
      </c>
      <c r="F41" s="76">
        <f>F38+F39+F40</f>
        <v>-270</v>
      </c>
      <c r="G41" s="77">
        <f>G38+G39+G40</f>
        <v>3383</v>
      </c>
    </row>
    <row r="42" spans="2:7" x14ac:dyDescent="0.3">
      <c r="B42" s="32" t="s">
        <v>65</v>
      </c>
      <c r="C42" s="39">
        <v>475</v>
      </c>
      <c r="D42" s="39">
        <v>2774</v>
      </c>
      <c r="E42" s="39">
        <v>3613</v>
      </c>
      <c r="F42" s="39">
        <v>2604</v>
      </c>
      <c r="G42" s="40">
        <v>5604</v>
      </c>
    </row>
    <row r="44" spans="2:7" x14ac:dyDescent="0.3">
      <c r="B44" s="102" t="s">
        <v>66</v>
      </c>
    </row>
    <row r="45" spans="2:7" x14ac:dyDescent="0.3">
      <c r="B45" s="3" t="s">
        <v>27</v>
      </c>
      <c r="C45" s="30" t="s">
        <v>28</v>
      </c>
      <c r="D45" s="30" t="s">
        <v>29</v>
      </c>
      <c r="E45" s="30" t="s">
        <v>30</v>
      </c>
      <c r="F45" s="30" t="s">
        <v>31</v>
      </c>
      <c r="G45" s="4" t="s">
        <v>32</v>
      </c>
    </row>
    <row r="46" spans="2:7" x14ac:dyDescent="0.3">
      <c r="B46" s="32" t="s">
        <v>67</v>
      </c>
      <c r="C46" s="39">
        <v>49</v>
      </c>
      <c r="D46" s="39">
        <v>49</v>
      </c>
      <c r="E46" s="39">
        <v>50</v>
      </c>
      <c r="F46" s="39">
        <v>46</v>
      </c>
      <c r="G46" s="40">
        <v>46</v>
      </c>
    </row>
    <row r="47" spans="2:7" x14ac:dyDescent="0.3">
      <c r="B47" s="32" t="s">
        <v>68</v>
      </c>
      <c r="C47" s="39">
        <v>142</v>
      </c>
      <c r="D47" s="39">
        <v>121</v>
      </c>
      <c r="E47" s="39">
        <v>122</v>
      </c>
      <c r="F47" s="39">
        <v>142</v>
      </c>
      <c r="G47" s="40">
        <v>118</v>
      </c>
    </row>
    <row r="48" spans="2:7" x14ac:dyDescent="0.3">
      <c r="B48" s="32" t="s">
        <v>69</v>
      </c>
      <c r="C48" s="39">
        <v>96</v>
      </c>
      <c r="D48" s="39">
        <v>71</v>
      </c>
      <c r="E48" s="39">
        <v>79</v>
      </c>
      <c r="F48" s="39">
        <v>81</v>
      </c>
      <c r="G48" s="40">
        <v>79</v>
      </c>
    </row>
    <row r="49" spans="2:8" x14ac:dyDescent="0.3">
      <c r="B49" s="32" t="s">
        <v>70</v>
      </c>
      <c r="C49" s="39">
        <v>94</v>
      </c>
      <c r="D49" s="39">
        <v>99</v>
      </c>
      <c r="E49" s="39">
        <v>93</v>
      </c>
      <c r="F49" s="39">
        <v>107</v>
      </c>
      <c r="G49" s="40">
        <v>84</v>
      </c>
    </row>
    <row r="50" spans="2:8" x14ac:dyDescent="0.3">
      <c r="B50" s="32" t="s">
        <v>71</v>
      </c>
      <c r="C50" s="39">
        <v>57</v>
      </c>
      <c r="D50" s="39">
        <v>54</v>
      </c>
      <c r="E50" s="39">
        <v>49</v>
      </c>
      <c r="F50" s="39">
        <v>52</v>
      </c>
      <c r="G50" s="40">
        <v>38</v>
      </c>
    </row>
    <row r="51" spans="2:8" x14ac:dyDescent="0.3">
      <c r="B51" s="32" t="s">
        <v>72</v>
      </c>
      <c r="C51" s="34">
        <v>0.28999999999999998</v>
      </c>
      <c r="D51" s="34">
        <v>0.34</v>
      </c>
      <c r="E51" s="34">
        <v>0.38</v>
      </c>
      <c r="F51" s="34">
        <v>0.26</v>
      </c>
      <c r="G51" s="11">
        <v>0.26</v>
      </c>
    </row>
    <row r="53" spans="2:8" x14ac:dyDescent="0.3">
      <c r="B53" s="102" t="s">
        <v>73</v>
      </c>
    </row>
    <row r="54" spans="2:8" x14ac:dyDescent="0.3">
      <c r="B54" s="3" t="s">
        <v>27</v>
      </c>
      <c r="C54" s="30" t="s">
        <v>30</v>
      </c>
      <c r="D54" s="30" t="s">
        <v>31</v>
      </c>
      <c r="E54" s="30" t="s">
        <v>32</v>
      </c>
    </row>
    <row r="55" spans="2:8" x14ac:dyDescent="0.3">
      <c r="B55" s="32" t="s">
        <v>74</v>
      </c>
      <c r="C55" s="39">
        <v>5923.4</v>
      </c>
      <c r="D55" s="39">
        <v>6719.3</v>
      </c>
      <c r="E55" s="39">
        <v>5743.7</v>
      </c>
    </row>
    <row r="56" spans="2:8" x14ac:dyDescent="0.3">
      <c r="B56" s="32" t="s">
        <v>75</v>
      </c>
      <c r="C56" s="39">
        <v>4889.1000000000004</v>
      </c>
      <c r="D56" s="39">
        <v>4322.3999999999996</v>
      </c>
      <c r="E56" s="39">
        <v>4467.2</v>
      </c>
    </row>
    <row r="57" spans="2:8" x14ac:dyDescent="0.3">
      <c r="B57" s="32" t="s">
        <v>76</v>
      </c>
      <c r="C57" s="39">
        <v>1083.9000000000001</v>
      </c>
      <c r="D57" s="39">
        <v>782</v>
      </c>
      <c r="E57" s="39">
        <v>1073.8</v>
      </c>
    </row>
    <row r="58" spans="2:8" x14ac:dyDescent="0.3">
      <c r="B58" s="32" t="s">
        <v>77</v>
      </c>
      <c r="C58" s="39">
        <v>3203.4</v>
      </c>
      <c r="D58" s="39">
        <v>3245</v>
      </c>
      <c r="E58" s="39">
        <v>6285.8</v>
      </c>
    </row>
    <row r="59" spans="2:8" x14ac:dyDescent="0.3">
      <c r="B59" s="32" t="s">
        <v>78</v>
      </c>
      <c r="C59" s="39">
        <v>3831.3</v>
      </c>
      <c r="D59" s="39">
        <v>3848</v>
      </c>
      <c r="E59" s="39">
        <v>3863.1</v>
      </c>
    </row>
    <row r="60" spans="2:8" x14ac:dyDescent="0.3">
      <c r="B60" s="32" t="s">
        <v>427</v>
      </c>
      <c r="C60" s="39">
        <v>5390.4</v>
      </c>
      <c r="D60" s="39">
        <v>5112.3</v>
      </c>
      <c r="E60" s="39">
        <v>7087.3</v>
      </c>
      <c r="H60" s="7" t="s">
        <v>428</v>
      </c>
    </row>
    <row r="61" spans="2:8" x14ac:dyDescent="0.3">
      <c r="B61" s="32" t="s">
        <v>243</v>
      </c>
      <c r="C61" s="39">
        <v>1106.7</v>
      </c>
      <c r="D61" s="39">
        <v>863.5</v>
      </c>
      <c r="E61" s="39">
        <v>2293.4</v>
      </c>
    </row>
    <row r="62" spans="2:8" x14ac:dyDescent="0.3">
      <c r="B62" s="32" t="s">
        <v>244</v>
      </c>
      <c r="C62" s="39">
        <v>1367.3</v>
      </c>
      <c r="D62" s="39">
        <v>1426.5</v>
      </c>
      <c r="E62" s="39">
        <v>1635.6</v>
      </c>
    </row>
    <row r="64" spans="2:8" x14ac:dyDescent="0.3">
      <c r="B64" s="102" t="s">
        <v>79</v>
      </c>
    </row>
    <row r="65" spans="2:3" x14ac:dyDescent="0.3">
      <c r="B65" s="32" t="s">
        <v>80</v>
      </c>
      <c r="C65" s="39">
        <v>2628</v>
      </c>
    </row>
    <row r="66" spans="2:3" x14ac:dyDescent="0.3">
      <c r="B66" s="32" t="s">
        <v>81</v>
      </c>
      <c r="C66" s="39">
        <v>251414</v>
      </c>
    </row>
    <row r="67" spans="2:3" x14ac:dyDescent="0.3">
      <c r="B67" s="32" t="s">
        <v>82</v>
      </c>
      <c r="C67" s="35">
        <v>95.92</v>
      </c>
    </row>
    <row r="68" spans="2:3" x14ac:dyDescent="0.3">
      <c r="B68" s="32" t="s">
        <v>83</v>
      </c>
      <c r="C68" s="39">
        <v>1</v>
      </c>
    </row>
    <row r="69" spans="2:3" x14ac:dyDescent="0.3">
      <c r="B69" s="32" t="s">
        <v>84</v>
      </c>
      <c r="C69" s="35">
        <v>51.6</v>
      </c>
    </row>
    <row r="70" spans="2:3" x14ac:dyDescent="0.3">
      <c r="B70" s="32" t="s">
        <v>85</v>
      </c>
      <c r="C70" s="35">
        <v>11.8</v>
      </c>
    </row>
    <row r="71" spans="2:3" x14ac:dyDescent="0.3">
      <c r="B71" s="32" t="s">
        <v>86</v>
      </c>
      <c r="C71" s="39">
        <v>223</v>
      </c>
    </row>
    <row r="72" spans="2:3" x14ac:dyDescent="0.3">
      <c r="B72" s="32" t="s">
        <v>87</v>
      </c>
      <c r="C72" s="34">
        <v>1.0500000000000001E-2</v>
      </c>
    </row>
    <row r="73" spans="2:3" x14ac:dyDescent="0.3">
      <c r="B73" s="32" t="s">
        <v>88</v>
      </c>
      <c r="C73" s="34">
        <v>0.218</v>
      </c>
    </row>
    <row r="74" spans="2:3" x14ac:dyDescent="0.3">
      <c r="B74" s="32" t="s">
        <v>89</v>
      </c>
      <c r="C74" s="34">
        <v>0.26300000000000001</v>
      </c>
    </row>
    <row r="76" spans="2:3" x14ac:dyDescent="0.3">
      <c r="B76" s="102" t="s">
        <v>90</v>
      </c>
    </row>
    <row r="77" spans="2:3" x14ac:dyDescent="0.3">
      <c r="B77" s="32" t="s">
        <v>91</v>
      </c>
      <c r="C77" s="34">
        <v>0.52629999999999999</v>
      </c>
    </row>
    <row r="78" spans="2:3" x14ac:dyDescent="0.3">
      <c r="B78" s="32" t="s">
        <v>92</v>
      </c>
      <c r="C78" s="34">
        <v>0.13320000000000001</v>
      </c>
    </row>
    <row r="79" spans="2:3" x14ac:dyDescent="0.3">
      <c r="B79" s="32" t="s">
        <v>93</v>
      </c>
      <c r="C79" s="34">
        <v>0.20699999999999999</v>
      </c>
    </row>
    <row r="80" spans="2:3" x14ac:dyDescent="0.3">
      <c r="B80" s="32" t="s">
        <v>94</v>
      </c>
      <c r="C80" s="34">
        <v>6.9999999999999999E-4</v>
      </c>
    </row>
    <row r="81" spans="2:3" x14ac:dyDescent="0.3">
      <c r="B81" s="32" t="s">
        <v>95</v>
      </c>
      <c r="C81" s="34">
        <v>0.1328</v>
      </c>
    </row>
    <row r="83" spans="2:3" x14ac:dyDescent="0.3">
      <c r="B83" s="3" t="s">
        <v>245</v>
      </c>
    </row>
    <row r="84" spans="2:3" x14ac:dyDescent="0.3">
      <c r="B84" s="3" t="s">
        <v>96</v>
      </c>
    </row>
  </sheetData>
  <mergeCells count="2">
    <mergeCell ref="C1:G1"/>
    <mergeCell ref="A1:B1"/>
  </mergeCells>
  <pageMargins left="0.25" right="0.25" top="0.25" bottom="0.25" header="0.5" footer="0.5"/>
  <pageSetup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111F-5844-44D5-A6D7-D8E63793E50F}">
  <sheetPr>
    <pageSetUpPr fitToPage="1"/>
  </sheetPr>
  <dimension ref="A1:N47"/>
  <sheetViews>
    <sheetView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36.77734375" customWidth="1"/>
    <col min="3" max="12" width="13.33203125" customWidth="1"/>
    <col min="13" max="13" width="17.77734375" customWidth="1"/>
    <col min="14" max="14" width="80.77734375" customWidth="1"/>
  </cols>
  <sheetData>
    <row r="1" spans="1:14" ht="21" x14ac:dyDescent="0.3">
      <c r="A1" s="123" t="s">
        <v>416</v>
      </c>
      <c r="B1" s="123"/>
      <c r="C1" s="125" t="s">
        <v>409</v>
      </c>
      <c r="D1" s="126"/>
      <c r="E1" s="126"/>
      <c r="F1" s="126"/>
      <c r="G1" s="126"/>
      <c r="H1" s="125" t="s">
        <v>410</v>
      </c>
      <c r="I1" s="126"/>
      <c r="J1" s="126"/>
      <c r="K1" s="126"/>
      <c r="L1" s="126"/>
      <c r="M1" s="95"/>
      <c r="N1" s="95"/>
    </row>
    <row r="2" spans="1:14" x14ac:dyDescent="0.3">
      <c r="A2" s="95"/>
      <c r="B2" s="100" t="s">
        <v>408</v>
      </c>
      <c r="C2" s="101" t="s">
        <v>28</v>
      </c>
      <c r="D2" s="101" t="s">
        <v>29</v>
      </c>
      <c r="E2" s="101" t="s">
        <v>30</v>
      </c>
      <c r="F2" s="101" t="s">
        <v>31</v>
      </c>
      <c r="G2" s="101" t="s">
        <v>32</v>
      </c>
      <c r="H2" s="101" t="s">
        <v>116</v>
      </c>
      <c r="I2" s="101" t="s">
        <v>117</v>
      </c>
      <c r="J2" s="101" t="s">
        <v>118</v>
      </c>
      <c r="K2" s="101" t="s">
        <v>119</v>
      </c>
      <c r="L2" s="101" t="s">
        <v>120</v>
      </c>
      <c r="M2" s="95"/>
      <c r="N2" s="95"/>
    </row>
    <row r="3" spans="1:14" x14ac:dyDescent="0.3">
      <c r="B3" s="102" t="s">
        <v>100</v>
      </c>
    </row>
    <row r="4" spans="1:14" x14ac:dyDescent="0.3">
      <c r="C4" s="94"/>
      <c r="D4" s="94"/>
      <c r="E4" s="94"/>
      <c r="F4" s="94"/>
      <c r="G4" s="94"/>
      <c r="H4" s="94"/>
      <c r="I4" s="94"/>
      <c r="J4" s="94"/>
      <c r="K4" s="94"/>
      <c r="L4" s="94"/>
      <c r="M4" s="28" t="s">
        <v>407</v>
      </c>
      <c r="N4" s="13" t="s">
        <v>101</v>
      </c>
    </row>
    <row r="5" spans="1:14" ht="22.8" x14ac:dyDescent="0.3">
      <c r="B5" s="32" t="s">
        <v>354</v>
      </c>
      <c r="C5" s="24">
        <f>'Historical Data'!C32/'Historical Data'!C27</f>
        <v>1.8208994708994708</v>
      </c>
      <c r="D5" s="24">
        <f>'Historical Data'!D32/'Historical Data'!D27</f>
        <v>1.8750954927425516</v>
      </c>
      <c r="E5" s="24">
        <f>'Historical Data'!E32/'Historical Data'!E27</f>
        <v>1.7782248792825937</v>
      </c>
      <c r="F5" s="24">
        <f>'Historical Data'!F32/'Historical Data'!F27</f>
        <v>1.7491055972302365</v>
      </c>
      <c r="G5" s="24">
        <f>'Historical Data'!G32/'Historical Data'!G27</f>
        <v>1.7322629637665437</v>
      </c>
      <c r="H5" s="24">
        <f>('Balance Sheet'!D8+'Balance Sheet'!D9+'Balance Sheet'!D10+'Balance Sheet'!D11)/('Balance Sheet'!D21+'Balance Sheet'!D22)</f>
        <v>1.7714350144398014</v>
      </c>
      <c r="I5" s="24">
        <f>('Balance Sheet'!E8+'Balance Sheet'!E9+'Balance Sheet'!E10+'Balance Sheet'!E11)/('Balance Sheet'!E21+'Balance Sheet'!E22)</f>
        <v>1.8414784652028939</v>
      </c>
      <c r="J5" s="24">
        <f>('Balance Sheet'!F8+'Balance Sheet'!F9+'Balance Sheet'!F10+'Balance Sheet'!F11)/('Balance Sheet'!F21+'Balance Sheet'!F22)</f>
        <v>1.9313583669828827</v>
      </c>
      <c r="K5" s="24">
        <f>('Balance Sheet'!G8+'Balance Sheet'!G9+'Balance Sheet'!G10+'Balance Sheet'!G11)/('Balance Sheet'!G21+'Balance Sheet'!G22)</f>
        <v>2.0154571750943888</v>
      </c>
      <c r="L5" s="24">
        <f>('Balance Sheet'!H8+'Balance Sheet'!H9+'Balance Sheet'!H10+'Balance Sheet'!H11)/('Balance Sheet'!H21+'Balance Sheet'!H22)</f>
        <v>2.0987428342237142</v>
      </c>
      <c r="M5" s="24"/>
      <c r="N5" s="14" t="s">
        <v>265</v>
      </c>
    </row>
    <row r="6" spans="1:14" x14ac:dyDescent="0.3">
      <c r="B6" s="32" t="s">
        <v>355</v>
      </c>
      <c r="E6" s="24">
        <f>('Historical Data'!E32-'Historical Data'!C55)/'Historical Data'!E27</f>
        <v>1.0972177512071741</v>
      </c>
      <c r="F6" s="24">
        <f>('Historical Data'!F32-'Historical Data'!D55)/'Historical Data'!F27</f>
        <v>0.97365262550490483</v>
      </c>
      <c r="G6" s="24">
        <f>('Historical Data'!G32-'Historical Data'!E55)/'Historical Data'!G27</f>
        <v>1.1091668474723366</v>
      </c>
      <c r="H6" s="24">
        <f>('Balance Sheet'!D9+'Balance Sheet'!D10+'Balance Sheet'!D11)/('Balance Sheet'!D21+'Balance Sheet'!D22)</f>
        <v>1.1515388049210726</v>
      </c>
      <c r="I6" s="24">
        <f>('Balance Sheet'!E9+'Balance Sheet'!E10+'Balance Sheet'!E11)/('Balance Sheet'!E21+'Balance Sheet'!E22)</f>
        <v>1.2319236187322624</v>
      </c>
      <c r="J6" s="24">
        <f>('Balance Sheet'!F9+'Balance Sheet'!F10+'Balance Sheet'!F11)/('Balance Sheet'!F21+'Balance Sheet'!F22)</f>
        <v>1.33210317681867</v>
      </c>
      <c r="K6" s="24">
        <f>('Balance Sheet'!G9+'Balance Sheet'!G10+'Balance Sheet'!G11)/('Balance Sheet'!G21+'Balance Sheet'!G22)</f>
        <v>1.4256103443720431</v>
      </c>
      <c r="L6" s="24">
        <f>('Balance Sheet'!H9+'Balance Sheet'!H10+'Balance Sheet'!H11)/('Balance Sheet'!H21+'Balance Sheet'!H22)</f>
        <v>1.5187006920841051</v>
      </c>
      <c r="M6" s="24"/>
      <c r="N6" s="14" t="s">
        <v>364</v>
      </c>
    </row>
    <row r="7" spans="1:14" ht="22.8" x14ac:dyDescent="0.3">
      <c r="B7" s="32" t="s">
        <v>266</v>
      </c>
      <c r="E7" s="45">
        <f>'Historical Data'!C57+'Historical Data'!C58</f>
        <v>4287.3</v>
      </c>
      <c r="F7" s="45">
        <f>'Historical Data'!D57+'Historical Data'!D58</f>
        <v>4027</v>
      </c>
      <c r="G7" s="45">
        <f>'Historical Data'!E57+'Historical Data'!E58</f>
        <v>7359.6</v>
      </c>
      <c r="H7" s="45">
        <f>'Balance Sheet'!D10+'Balance Sheet'!D7</f>
        <v>8755.0993460231366</v>
      </c>
      <c r="I7" s="45">
        <f>'Balance Sheet'!E10+'Balance Sheet'!E7</f>
        <v>9846.346394993845</v>
      </c>
      <c r="J7" s="45">
        <f>'Balance Sheet'!F10+'Balance Sheet'!F7</f>
        <v>11368.617722953897</v>
      </c>
      <c r="K7" s="45">
        <f>'Balance Sheet'!G10+'Balance Sheet'!G7</f>
        <v>13061.703358965095</v>
      </c>
      <c r="L7" s="45">
        <f>'Balance Sheet'!H10+'Balance Sheet'!H7</f>
        <v>14979.487789922969</v>
      </c>
      <c r="M7" s="24"/>
      <c r="N7" s="14" t="s">
        <v>267</v>
      </c>
    </row>
    <row r="9" spans="1:14" x14ac:dyDescent="0.3">
      <c r="B9" s="102" t="s">
        <v>102</v>
      </c>
    </row>
    <row r="10" spans="1:14" x14ac:dyDescent="0.3"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28" t="s">
        <v>407</v>
      </c>
      <c r="N10" s="13" t="s">
        <v>101</v>
      </c>
    </row>
    <row r="11" spans="1:14" x14ac:dyDescent="0.3">
      <c r="B11" s="32" t="s">
        <v>356</v>
      </c>
      <c r="C11" s="24">
        <f>'Historical Data'!C26/'Historical Data'!C25</f>
        <v>0.11490008688097307</v>
      </c>
      <c r="D11" s="24">
        <f>'Historical Data'!D26/'Historical Data'!D25</f>
        <v>0.12087293646823412</v>
      </c>
      <c r="E11" s="24">
        <f>'Historical Data'!E26/'Historical Data'!E25</f>
        <v>0.1321016659547202</v>
      </c>
      <c r="F11" s="24">
        <f>'Historical Data'!F26/'Historical Data'!F25</f>
        <v>0.11804123711340206</v>
      </c>
      <c r="G11" s="24">
        <f>'Historical Data'!G26/'Historical Data'!G25</f>
        <v>0.18383866741530974</v>
      </c>
      <c r="H11" s="24">
        <f>('Balance Sheet'!D19+'Balance Sheet'!D20)/'Balance Sheet'!D18</f>
        <v>0.16884233351279429</v>
      </c>
      <c r="I11" s="24">
        <f>('Balance Sheet'!E19+'Balance Sheet'!E20)/'Balance Sheet'!E18</f>
        <v>0.15431811643626844</v>
      </c>
      <c r="J11" s="24">
        <f>('Balance Sheet'!F19+'Balance Sheet'!F20)/'Balance Sheet'!F18</f>
        <v>0.14048475756638953</v>
      </c>
      <c r="K11" s="24">
        <f>('Balance Sheet'!G19+'Balance Sheet'!G20)/'Balance Sheet'!G18</f>
        <v>0.12760765801125865</v>
      </c>
      <c r="L11" s="24">
        <f>('Balance Sheet'!H19+'Balance Sheet'!H20)/'Balance Sheet'!H18</f>
        <v>0.11569950305194479</v>
      </c>
      <c r="M11" s="24"/>
      <c r="N11" s="14" t="s">
        <v>365</v>
      </c>
    </row>
    <row r="12" spans="1:14" x14ac:dyDescent="0.3">
      <c r="B12" s="32" t="s">
        <v>357</v>
      </c>
      <c r="C12" s="24">
        <f>'Historical Data'!C26/'Historical Data'!C8</f>
        <v>0.33041848844472205</v>
      </c>
      <c r="D12" s="24">
        <f>'Historical Data'!D26/'Historical Data'!D8</f>
        <v>0.3087859424920128</v>
      </c>
      <c r="E12" s="24">
        <f>'Historical Data'!E26/'Historical Data'!E8</f>
        <v>0.3261700725115359</v>
      </c>
      <c r="F12" s="24">
        <f>'Historical Data'!F26/'Historical Data'!F8</f>
        <v>0.38122190777426335</v>
      </c>
      <c r="G12" s="24">
        <f>'Historical Data'!G26/'Historical Data'!G8</f>
        <v>0.58641791044776115</v>
      </c>
      <c r="H12" s="24">
        <f>('Balance Sheet'!D19+'Balance Sheet'!D20)/'Income Statement'!D7</f>
        <v>0.53686718926959709</v>
      </c>
      <c r="I12" s="24">
        <f>('Balance Sheet'!E19+'Balance Sheet'!E20)/'Income Statement'!E7</f>
        <v>0.47316045027882497</v>
      </c>
      <c r="J12" s="24">
        <f>('Balance Sheet'!F19+'Balance Sheet'!F20)/'Income Statement'!F7</f>
        <v>0.42098969804149089</v>
      </c>
      <c r="K12" s="24">
        <f>('Balance Sheet'!G19+'Balance Sheet'!G20)/'Income Statement'!G7</f>
        <v>0.38041025497709624</v>
      </c>
      <c r="L12" s="24">
        <f>('Balance Sheet'!H19+'Balance Sheet'!H20)/'Income Statement'!H7</f>
        <v>0.34362233018516519</v>
      </c>
      <c r="M12" s="24"/>
      <c r="N12" s="14" t="s">
        <v>268</v>
      </c>
    </row>
    <row r="13" spans="1:14" x14ac:dyDescent="0.3">
      <c r="B13" s="32" t="s">
        <v>358</v>
      </c>
      <c r="C13" s="15">
        <f>('Historical Data'!C13+'Historical Data'!C11)/'Historical Data'!C11</f>
        <v>45.084210526315786</v>
      </c>
      <c r="D13" s="15">
        <f>('Historical Data'!D13+'Historical Data'!D11)/'Historical Data'!D11</f>
        <v>40.506944444444443</v>
      </c>
      <c r="E13" s="15">
        <f>('Historical Data'!E13+'Historical Data'!E11)/'Historical Data'!E11</f>
        <v>36.84390243902439</v>
      </c>
      <c r="F13" s="15">
        <f>('Historical Data'!F13+'Historical Data'!F11)/'Historical Data'!F11</f>
        <v>23.484581497797357</v>
      </c>
      <c r="G13" s="15">
        <f>('Historical Data'!G13+'Historical Data'!G11)/'Historical Data'!G11</f>
        <v>31.78974358974359</v>
      </c>
      <c r="H13" s="15">
        <f>('Income Statement'!D12+'Income Statement'!D11)/'Income Statement'!D11</f>
        <v>26.281696042289092</v>
      </c>
      <c r="I13" s="15">
        <f>('Income Statement'!E12+'Income Statement'!E11)/'Income Statement'!E11</f>
        <v>30.16982237583251</v>
      </c>
      <c r="J13" s="15">
        <f>('Income Statement'!F12+'Income Statement'!F11)/'Income Statement'!F11</f>
        <v>34.390339630453944</v>
      </c>
      <c r="K13" s="15">
        <f>('Income Statement'!G12+'Income Statement'!G11)/'Income Statement'!G11</f>
        <v>38.588190722021956</v>
      </c>
      <c r="L13" s="15">
        <f>('Income Statement'!H12+'Income Statement'!H11)/'Income Statement'!H11</f>
        <v>43.206132563948771</v>
      </c>
      <c r="M13" s="24"/>
      <c r="N13" s="14" t="s">
        <v>366</v>
      </c>
    </row>
    <row r="14" spans="1:14" x14ac:dyDescent="0.3">
      <c r="B14" s="32" t="s">
        <v>103</v>
      </c>
      <c r="C14" s="9">
        <f>'Historical Data'!C25/'Historical Data'!C33</f>
        <v>0.60159414608650208</v>
      </c>
      <c r="D14" s="9">
        <f>'Historical Data'!D25/'Historical Data'!D33</f>
        <v>0.62034989720314981</v>
      </c>
      <c r="E14" s="9">
        <f>'Historical Data'!E25/'Historical Data'!E33</f>
        <v>0.62635451505016726</v>
      </c>
      <c r="F14" s="9">
        <f>'Historical Data'!F25/'Historical Data'!F33</f>
        <v>0.63910393674847632</v>
      </c>
      <c r="G14" s="9">
        <f>'Historical Data'!G25/'Historical Data'!G33</f>
        <v>0.61913728671166601</v>
      </c>
      <c r="H14" s="9">
        <f>'Balance Sheet'!D18/'Balance Sheet'!D12</f>
        <v>0.61780265828575631</v>
      </c>
      <c r="I14" s="9">
        <f>'Balance Sheet'!E18/'Balance Sheet'!E12</f>
        <v>0.62119456203554368</v>
      </c>
      <c r="J14" s="9">
        <f>'Balance Sheet'!F18/'Balance Sheet'!F12</f>
        <v>0.62665715437695768</v>
      </c>
      <c r="K14" s="9">
        <f>'Balance Sheet'!G18/'Balance Sheet'!G12</f>
        <v>0.63289620955241188</v>
      </c>
      <c r="L14" s="9">
        <f>'Balance Sheet'!H18/'Balance Sheet'!H12</f>
        <v>0.64014567791654575</v>
      </c>
      <c r="M14" s="24"/>
      <c r="N14" s="14" t="s">
        <v>269</v>
      </c>
    </row>
    <row r="15" spans="1:14" x14ac:dyDescent="0.3">
      <c r="B15" s="32" t="s">
        <v>263</v>
      </c>
      <c r="E15" s="45">
        <f>'Historical Data'!E26-'Historical Data'!C57-'Historical Data'!C58</f>
        <v>-1813.3000000000002</v>
      </c>
      <c r="F15" s="45">
        <f>'Historical Data'!F26-'Historical Data'!D57-'Historical Data'!D58</f>
        <v>-1737</v>
      </c>
      <c r="G15" s="45">
        <f>'Historical Data'!G26-'Historical Data'!E57-'Historical Data'!E58</f>
        <v>-3430.6000000000004</v>
      </c>
      <c r="H15" s="45">
        <f>'Balance Sheet'!D19+'Balance Sheet'!D20-'Balance Sheet'!D10-'Balance Sheet'!D7</f>
        <v>-4826.0993460231366</v>
      </c>
      <c r="I15" s="45">
        <f>'Balance Sheet'!E19+'Balance Sheet'!E20-'Balance Sheet'!E10-'Balance Sheet'!E7</f>
        <v>-5917.3463949938459</v>
      </c>
      <c r="J15" s="45">
        <f>'Balance Sheet'!F19+'Balance Sheet'!F20-'Balance Sheet'!F10-'Balance Sheet'!F7</f>
        <v>-7439.6177229538971</v>
      </c>
      <c r="K15" s="45">
        <f>'Balance Sheet'!G19+'Balance Sheet'!G20-'Balance Sheet'!G10-'Balance Sheet'!G7</f>
        <v>-9132.7033589650946</v>
      </c>
      <c r="L15" s="45">
        <f>'Balance Sheet'!H19+'Balance Sheet'!H20-'Balance Sheet'!H10-'Balance Sheet'!H7</f>
        <v>-11050.487789922969</v>
      </c>
      <c r="M15" s="24"/>
      <c r="N15" s="14" t="s">
        <v>270</v>
      </c>
    </row>
    <row r="16" spans="1:14" x14ac:dyDescent="0.3">
      <c r="B16" s="107"/>
    </row>
    <row r="17" spans="2:14" x14ac:dyDescent="0.3">
      <c r="B17" s="102" t="s">
        <v>104</v>
      </c>
    </row>
    <row r="18" spans="2:14" x14ac:dyDescent="0.3"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28" t="s">
        <v>407</v>
      </c>
      <c r="N18" s="13" t="s">
        <v>101</v>
      </c>
    </row>
    <row r="19" spans="2:14" x14ac:dyDescent="0.3">
      <c r="B19" s="32" t="s">
        <v>105</v>
      </c>
      <c r="C19" s="9">
        <f>'Historical Data'!C9</f>
        <v>0.16504587471220919</v>
      </c>
      <c r="D19" s="9">
        <f>'Historical Data'!D9</f>
        <v>0.18150714720635566</v>
      </c>
      <c r="E19" s="9">
        <f>'Historical Data'!E9</f>
        <v>0.213692069305536</v>
      </c>
      <c r="F19" s="9">
        <f>'Historical Data'!F9</f>
        <v>0.1771662832537014</v>
      </c>
      <c r="G19" s="9">
        <f>'Historical Data'!G9</f>
        <v>0.18828687050359713</v>
      </c>
      <c r="H19" s="9">
        <f>'Income Statement'!D8</f>
        <v>0.182</v>
      </c>
      <c r="I19" s="9">
        <f>'Income Statement'!E8</f>
        <v>0.186</v>
      </c>
      <c r="J19" s="9">
        <f>'Income Statement'!F8</f>
        <v>0.19000000000000003</v>
      </c>
      <c r="K19" s="9">
        <f>'Income Statement'!G8</f>
        <v>0.192</v>
      </c>
      <c r="L19" s="9">
        <f>'Income Statement'!H8</f>
        <v>0.19500000000000001</v>
      </c>
      <c r="M19" s="9"/>
      <c r="N19" s="14" t="s">
        <v>271</v>
      </c>
    </row>
    <row r="20" spans="2:14" x14ac:dyDescent="0.3">
      <c r="B20" s="32" t="s">
        <v>106</v>
      </c>
      <c r="C20" s="9">
        <f>'Historical Data'!C16</f>
        <v>0.10601010274561011</v>
      </c>
      <c r="D20" s="9">
        <f>'Historical Data'!D16</f>
        <v>0.12163298442981821</v>
      </c>
      <c r="E20" s="9">
        <f>'Historical Data'!E16</f>
        <v>0.15658543456824905</v>
      </c>
      <c r="F20" s="9">
        <f>'Historical Data'!F16</f>
        <v>0.1094201616233115</v>
      </c>
      <c r="G20" s="9">
        <f>'Historical Data'!G16</f>
        <v>0.1235105665467626</v>
      </c>
      <c r="H20" s="9">
        <f>'Income Statement'!D15</f>
        <v>0.11801715799965448</v>
      </c>
      <c r="I20" s="9">
        <f>'Income Statement'!E15</f>
        <v>0.12264669819301491</v>
      </c>
      <c r="J20" s="9">
        <f>'Income Statement'!F15</f>
        <v>0.12759880338688495</v>
      </c>
      <c r="K20" s="9">
        <f>'Income Statement'!G15</f>
        <v>0.13116125461007327</v>
      </c>
      <c r="L20" s="9">
        <f>'Income Statement'!H15</f>
        <v>0.13511147784858907</v>
      </c>
      <c r="M20" s="9"/>
      <c r="N20" s="14" t="s">
        <v>272</v>
      </c>
    </row>
    <row r="21" spans="2:14" x14ac:dyDescent="0.3">
      <c r="B21" s="32" t="s">
        <v>107</v>
      </c>
      <c r="C21" s="9">
        <f>'Historical Data'!C15/'Historical Data'!C25</f>
        <v>0.22335650159281784</v>
      </c>
      <c r="D21" s="9">
        <f>'Historical Data'!D15/'Historical Data'!D25</f>
        <v>0.26231865932966481</v>
      </c>
      <c r="E21" s="9">
        <f>'Historical Data'!E15/'Historical Data'!E25</f>
        <v>0.29677488252883383</v>
      </c>
      <c r="F21" s="9">
        <f>'Historical Data'!F15/'Historical Data'!F25</f>
        <v>0.19123711340206184</v>
      </c>
      <c r="G21" s="9">
        <f>'Historical Data'!G15/'Historical Data'!G25</f>
        <v>0.20564289724873666</v>
      </c>
      <c r="H21" s="9">
        <f>'Income Statement'!D14/'Balance Sheet'!D18</f>
        <v>0.20393334701231897</v>
      </c>
      <c r="I21" s="9">
        <f>'Income Statement'!E14/'Balance Sheet'!E18</f>
        <v>0.21505591598900226</v>
      </c>
      <c r="J21" s="9">
        <f>'Income Statement'!F14/'Balance Sheet'!F18</f>
        <v>0.22410458326828925</v>
      </c>
      <c r="K21" s="9">
        <f>'Income Statement'!G14/'Balance Sheet'!G18</f>
        <v>0.22915474564999516</v>
      </c>
      <c r="L21" s="9">
        <f>'Income Statement'!H14/'Balance Sheet'!H18</f>
        <v>0.23329624461611861</v>
      </c>
      <c r="M21" s="9"/>
      <c r="N21" s="14" t="s">
        <v>273</v>
      </c>
    </row>
    <row r="22" spans="2:14" x14ac:dyDescent="0.3">
      <c r="B22" s="32" t="s">
        <v>262</v>
      </c>
      <c r="C22" s="9">
        <f>('Historical Data'!C13+'Historical Data'!C11)/('Historical Data'!C25+'Historical Data'!C26)</f>
        <v>0.27813494382752124</v>
      </c>
      <c r="D22" s="9">
        <f>('Historical Data'!D13+'Historical Data'!D11)/('Historical Data'!D25+'Historical Data'!D26)</f>
        <v>0.32541143654114363</v>
      </c>
      <c r="E22" s="9">
        <f>('Historical Data'!E13+'Historical Data'!E11)/('Historical Data'!E25+'Historical Data'!E26)</f>
        <v>0.35623997736062635</v>
      </c>
      <c r="F22" s="9">
        <f>('Historical Data'!F13+'Historical Data'!F11)/('Historical Data'!F25+'Historical Data'!F26)</f>
        <v>0.24578146611341631</v>
      </c>
      <c r="G22" s="9">
        <f>('Historical Data'!G13+'Historical Data'!G11)/('Historical Data'!G25+'Historical Data'!G26)</f>
        <v>0.24501007865301766</v>
      </c>
      <c r="H22" s="9">
        <f>('Income Statement'!D12+'Income Statement'!D11)/('Balance Sheet'!D18+'Balance Sheet'!D19+'Balance Sheet'!D20)</f>
        <v>0.24676988459398294</v>
      </c>
      <c r="I22" s="9">
        <f>('Income Statement'!E12+'Income Statement'!E11)/('Balance Sheet'!E18+'Balance Sheet'!E19+'Balance Sheet'!E20)</f>
        <v>0.26216669065273235</v>
      </c>
      <c r="J22" s="9">
        <f>('Income Statement'!F12+'Income Statement'!F11)/('Balance Sheet'!F18+'Balance Sheet'!F19+'Balance Sheet'!F20)</f>
        <v>0.27535282876972367</v>
      </c>
      <c r="K22" s="9">
        <f>('Income Statement'!G12+'Income Statement'!G11)/('Balance Sheet'!G18+'Balance Sheet'!G19+'Balance Sheet'!G20)</f>
        <v>0.28384842870337207</v>
      </c>
      <c r="L22" s="9">
        <f>('Income Statement'!H12+'Income Statement'!H11)/('Balance Sheet'!H18+'Balance Sheet'!H19+'Balance Sheet'!H20)</f>
        <v>0.29123462314907733</v>
      </c>
      <c r="M22" s="9"/>
      <c r="N22" s="14" t="s">
        <v>274</v>
      </c>
    </row>
    <row r="23" spans="2:14" x14ac:dyDescent="0.3">
      <c r="B23" s="32" t="s">
        <v>108</v>
      </c>
      <c r="C23" s="9">
        <f>'Historical Data'!C51</f>
        <v>0.28999999999999998</v>
      </c>
      <c r="D23" s="9">
        <f>'Historical Data'!D51</f>
        <v>0.34</v>
      </c>
      <c r="E23" s="9">
        <f>'Historical Data'!E51</f>
        <v>0.38</v>
      </c>
      <c r="F23" s="9">
        <f>'Historical Data'!F51</f>
        <v>0.26</v>
      </c>
      <c r="G23" s="9">
        <f>'Historical Data'!G51</f>
        <v>0.26</v>
      </c>
      <c r="M23" s="9"/>
      <c r="N23" s="14" t="s">
        <v>275</v>
      </c>
    </row>
    <row r="25" spans="2:14" x14ac:dyDescent="0.3">
      <c r="B25" s="102" t="s">
        <v>109</v>
      </c>
    </row>
    <row r="26" spans="2:14" x14ac:dyDescent="0.3"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28" t="s">
        <v>407</v>
      </c>
      <c r="N26" s="13" t="s">
        <v>101</v>
      </c>
    </row>
    <row r="27" spans="2:14" x14ac:dyDescent="0.3">
      <c r="B27" s="32" t="s">
        <v>359</v>
      </c>
      <c r="C27" s="24">
        <f>'Historical Data'!C6/'Historical Data'!C33</f>
        <v>1.2675203623851212</v>
      </c>
      <c r="D27" s="24">
        <f>'Historical Data'!D6/'Historical Data'!D33</f>
        <v>1.3378719112455875</v>
      </c>
      <c r="E27" s="24">
        <f>'Historical Data'!E6/'Historical Data'!E33</f>
        <v>1.1871237458193979</v>
      </c>
      <c r="F27" s="24">
        <f>'Historical Data'!F6/'Historical Data'!F33</f>
        <v>1.1169823752264865</v>
      </c>
      <c r="G27" s="24">
        <f>'Historical Data'!G6/'Historical Data'!G33</f>
        <v>1.030852573944784</v>
      </c>
      <c r="H27" s="24">
        <f>'Income Statement'!D4/'Balance Sheet'!D12</f>
        <v>1.0675614125336852</v>
      </c>
      <c r="I27" s="24">
        <f>'Income Statement'!E4/'Balance Sheet'!E12</f>
        <v>1.0892389890162519</v>
      </c>
      <c r="J27" s="24">
        <f>'Income Statement'!F4/'Balance Sheet'!F12</f>
        <v>1.1006117354245868</v>
      </c>
      <c r="K27" s="24">
        <f>'Income Statement'!G4/'Balance Sheet'!G12</f>
        <v>1.1057470466715902</v>
      </c>
      <c r="L27" s="24">
        <f>'Income Statement'!H4/'Balance Sheet'!H12</f>
        <v>1.1053360161786514</v>
      </c>
      <c r="M27" s="24"/>
      <c r="N27" s="14" t="s">
        <v>367</v>
      </c>
    </row>
    <row r="28" spans="2:14" x14ac:dyDescent="0.3">
      <c r="B28" s="32" t="s">
        <v>360</v>
      </c>
      <c r="C28" s="24">
        <f>'Historical Data'!C6/('Historical Data'!C29+'Historical Data'!C30)</f>
        <v>4.8950378469301938</v>
      </c>
      <c r="D28" s="24">
        <f>'Historical Data'!D6/('Historical Data'!D29+'Historical Data'!D30)</f>
        <v>5.0793814432989688</v>
      </c>
      <c r="E28" s="24">
        <f>'Historical Data'!E6/('Historical Data'!E29+'Historical Data'!E30)</f>
        <v>3.6053834433722702</v>
      </c>
      <c r="F28" s="24">
        <f>'Historical Data'!F6/('Historical Data'!F29+'Historical Data'!F30)</f>
        <v>3.237158678632805</v>
      </c>
      <c r="G28" s="24">
        <f>'Historical Data'!G6/('Historical Data'!G29+'Historical Data'!G30)</f>
        <v>3.0972234311080165</v>
      </c>
      <c r="H28" s="24">
        <f>'Income Statement'!D4/'Balance Sheet'!D6</f>
        <v>3.3334897309312574</v>
      </c>
      <c r="I28" s="24">
        <f>'Income Statement'!E4/'Balance Sheet'!E6</f>
        <v>3.5519087504710605</v>
      </c>
      <c r="J28" s="24">
        <f>'Income Statement'!F4/'Balance Sheet'!F6</f>
        <v>3.7856318980795183</v>
      </c>
      <c r="K28" s="24">
        <f>'Income Statement'!G4/'Balance Sheet'!G6</f>
        <v>3.9813951450748712</v>
      </c>
      <c r="L28" s="24">
        <f>'Income Statement'!H4/'Balance Sheet'!H6</f>
        <v>4.1386440919468281</v>
      </c>
      <c r="M28" s="24"/>
      <c r="N28" s="14" t="s">
        <v>368</v>
      </c>
    </row>
    <row r="29" spans="2:14" x14ac:dyDescent="0.3">
      <c r="B29" s="32" t="s">
        <v>276</v>
      </c>
      <c r="C29" s="8">
        <f>'Historical Data'!C46</f>
        <v>49</v>
      </c>
      <c r="D29" s="8">
        <f>'Historical Data'!D46</f>
        <v>49</v>
      </c>
      <c r="E29" s="8">
        <f>'Historical Data'!E46</f>
        <v>50</v>
      </c>
      <c r="F29" s="8">
        <f>'Historical Data'!F46</f>
        <v>46</v>
      </c>
      <c r="G29" s="8">
        <f>'Historical Data'!G46</f>
        <v>46</v>
      </c>
      <c r="H29" s="8">
        <f>Assumptions!C21</f>
        <v>46</v>
      </c>
      <c r="I29" s="8">
        <f>Assumptions!D21</f>
        <v>46</v>
      </c>
      <c r="J29" s="8">
        <f>Assumptions!E21</f>
        <v>46</v>
      </c>
      <c r="K29" s="8">
        <f>Assumptions!F21</f>
        <v>46</v>
      </c>
      <c r="L29" s="8">
        <f>Assumptions!G21</f>
        <v>46</v>
      </c>
      <c r="M29" s="24"/>
      <c r="N29" s="14" t="s">
        <v>277</v>
      </c>
    </row>
    <row r="30" spans="2:14" x14ac:dyDescent="0.3">
      <c r="B30" s="32" t="s">
        <v>278</v>
      </c>
      <c r="C30" s="8">
        <f>'Historical Data'!C47</f>
        <v>142</v>
      </c>
      <c r="D30" s="8">
        <f>'Historical Data'!D47</f>
        <v>121</v>
      </c>
      <c r="E30" s="8">
        <f>'Historical Data'!E47</f>
        <v>122</v>
      </c>
      <c r="F30" s="8">
        <f>'Historical Data'!F47</f>
        <v>142</v>
      </c>
      <c r="G30" s="8">
        <f>'Historical Data'!G47</f>
        <v>118</v>
      </c>
      <c r="M30" s="24"/>
      <c r="N30" s="14" t="s">
        <v>279</v>
      </c>
    </row>
    <row r="31" spans="2:14" ht="13.95" customHeight="1" x14ac:dyDescent="0.3">
      <c r="B31" s="32" t="s">
        <v>455</v>
      </c>
      <c r="E31" s="15">
        <f>'Historical Data'!C55/'Historical Data'!E7*365</f>
        <v>77.464743819419567</v>
      </c>
      <c r="F31" s="15">
        <f>'Historical Data'!D55/'Historical Data'!F7*365</f>
        <v>87.907971611885728</v>
      </c>
      <c r="G31" s="15">
        <f>'Historical Data'!E55/'Historical Data'!G7*365</f>
        <v>72.581723445506157</v>
      </c>
      <c r="H31" s="15">
        <f>Assumptions!C22</f>
        <v>72</v>
      </c>
      <c r="I31" s="15">
        <f>Assumptions!D22</f>
        <v>71</v>
      </c>
      <c r="J31" s="15">
        <f>Assumptions!E22</f>
        <v>70</v>
      </c>
      <c r="K31" s="15">
        <f>Assumptions!F22</f>
        <v>69</v>
      </c>
      <c r="L31" s="120">
        <f>Assumptions!G22</f>
        <v>68</v>
      </c>
      <c r="M31" s="24"/>
      <c r="N31" s="111" t="s">
        <v>463</v>
      </c>
    </row>
    <row r="32" spans="2:14" x14ac:dyDescent="0.3">
      <c r="B32" s="32" t="s">
        <v>280</v>
      </c>
      <c r="C32" s="8">
        <f>'Historical Data'!C48</f>
        <v>96</v>
      </c>
      <c r="D32" s="8">
        <f>'Historical Data'!D48</f>
        <v>71</v>
      </c>
      <c r="E32" s="8">
        <f>'Historical Data'!E48</f>
        <v>79</v>
      </c>
      <c r="F32" s="8">
        <f>'Historical Data'!F48</f>
        <v>81</v>
      </c>
      <c r="G32" s="8">
        <f>'Historical Data'!G48</f>
        <v>79</v>
      </c>
      <c r="M32" s="24"/>
      <c r="N32" s="14" t="s">
        <v>281</v>
      </c>
    </row>
    <row r="33" spans="2:14" ht="13.95" customHeight="1" x14ac:dyDescent="0.3">
      <c r="B33" s="32" t="s">
        <v>457</v>
      </c>
      <c r="E33" s="15">
        <f>'Historical Data'!C59/'Historical Data'!E7*365</f>
        <v>50.104783231816555</v>
      </c>
      <c r="F33" s="15">
        <f>'Historical Data'!D59/'Historical Data'!F7*365</f>
        <v>50.343023047421049</v>
      </c>
      <c r="G33" s="15">
        <f>'Historical Data'!E59/'Historical Data'!G7*365</f>
        <v>48.817044038221844</v>
      </c>
      <c r="H33" s="15">
        <f>Assumptions!C23</f>
        <v>49</v>
      </c>
      <c r="I33" s="15">
        <f>Assumptions!D23</f>
        <v>49</v>
      </c>
      <c r="J33" s="15">
        <f>Assumptions!E23</f>
        <v>49</v>
      </c>
      <c r="K33" s="15">
        <f>Assumptions!F23</f>
        <v>49</v>
      </c>
      <c r="L33" s="120">
        <f>Assumptions!G23</f>
        <v>49</v>
      </c>
      <c r="M33" s="24"/>
      <c r="N33" s="111" t="s">
        <v>464</v>
      </c>
    </row>
    <row r="34" spans="2:14" ht="13.95" customHeight="1" x14ac:dyDescent="0.3">
      <c r="B34" s="32" t="s">
        <v>282</v>
      </c>
      <c r="E34" s="16">
        <f t="shared" ref="E34:K34" si="0">E29+E31-E33</f>
        <v>77.359960587603013</v>
      </c>
      <c r="F34" s="16">
        <f t="shared" si="0"/>
        <v>83.564948564464686</v>
      </c>
      <c r="G34" s="16">
        <f t="shared" si="0"/>
        <v>69.764679407284319</v>
      </c>
      <c r="H34" s="16">
        <f t="shared" si="0"/>
        <v>69</v>
      </c>
      <c r="I34" s="16">
        <f t="shared" si="0"/>
        <v>68</v>
      </c>
      <c r="J34" s="16">
        <f t="shared" si="0"/>
        <v>67</v>
      </c>
      <c r="K34" s="16">
        <f t="shared" si="0"/>
        <v>66</v>
      </c>
      <c r="L34" s="121">
        <f>L29+L31-L33</f>
        <v>65</v>
      </c>
      <c r="M34" s="24"/>
      <c r="N34" s="111" t="s">
        <v>465</v>
      </c>
    </row>
    <row r="35" spans="2:14" x14ac:dyDescent="0.3">
      <c r="B35" s="32" t="s">
        <v>110</v>
      </c>
      <c r="C35" s="8">
        <f>'Historical Data'!C50</f>
        <v>57</v>
      </c>
      <c r="D35" s="8">
        <f>'Historical Data'!D50</f>
        <v>54</v>
      </c>
      <c r="E35" s="8">
        <f>'Historical Data'!E50</f>
        <v>49</v>
      </c>
      <c r="F35" s="8">
        <f>'Historical Data'!F50</f>
        <v>52</v>
      </c>
      <c r="G35" s="8">
        <f>'Historical Data'!G50</f>
        <v>38</v>
      </c>
      <c r="M35" s="24"/>
      <c r="N35" s="14" t="s">
        <v>283</v>
      </c>
    </row>
    <row r="37" spans="2:14" x14ac:dyDescent="0.3">
      <c r="B37" s="102" t="s">
        <v>111</v>
      </c>
    </row>
    <row r="38" spans="2:14" x14ac:dyDescent="0.3"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28" t="s">
        <v>407</v>
      </c>
      <c r="N38" s="13" t="s">
        <v>101</v>
      </c>
    </row>
    <row r="39" spans="2:14" x14ac:dyDescent="0.3">
      <c r="B39" s="32" t="s">
        <v>44</v>
      </c>
      <c r="C39" s="15">
        <f>'Historical Data'!C17</f>
        <v>31.59</v>
      </c>
      <c r="D39" s="15">
        <f>'Historical Data'!D17</f>
        <v>42.81</v>
      </c>
      <c r="E39" s="15">
        <f>'Historical Data'!E17</f>
        <v>56.92</v>
      </c>
      <c r="F39" s="15">
        <f>'Historical Data'!F17</f>
        <v>38.229999999999997</v>
      </c>
      <c r="G39" s="15">
        <f>'Historical Data'!G17</f>
        <v>45.09</v>
      </c>
      <c r="H39" s="15">
        <f>'Income Statement'!D16</f>
        <v>49.474311599912419</v>
      </c>
      <c r="I39" s="15">
        <f>'Income Statement'!E16</f>
        <v>57.08307224017107</v>
      </c>
      <c r="J39" s="15">
        <f>'Income Statement'!F16</f>
        <v>65.34229604456587</v>
      </c>
      <c r="K39" s="15">
        <f>'Income Statement'!G16</f>
        <v>73.557163931865404</v>
      </c>
      <c r="L39" s="15">
        <f>'Income Statement'!H16</f>
        <v>82.594116723940601</v>
      </c>
      <c r="M39" s="15"/>
      <c r="N39" s="14" t="s">
        <v>284</v>
      </c>
    </row>
    <row r="40" spans="2:14" x14ac:dyDescent="0.3">
      <c r="B40" s="32" t="s">
        <v>112</v>
      </c>
      <c r="D40" s="17">
        <f t="shared" ref="D40:L40" si="1">D39/C39-1</f>
        <v>0.35517568850902181</v>
      </c>
      <c r="E40" s="17">
        <f t="shared" si="1"/>
        <v>0.32959588881102553</v>
      </c>
      <c r="F40" s="17">
        <f t="shared" si="1"/>
        <v>-0.3283555867884751</v>
      </c>
      <c r="G40" s="17">
        <f t="shared" si="1"/>
        <v>0.17944023018571831</v>
      </c>
      <c r="H40" s="17">
        <f t="shared" si="1"/>
        <v>9.7234677310100048E-2</v>
      </c>
      <c r="I40" s="17">
        <f t="shared" si="1"/>
        <v>0.15379214776728944</v>
      </c>
      <c r="J40" s="17">
        <f t="shared" si="1"/>
        <v>0.14468779412651411</v>
      </c>
      <c r="K40" s="17">
        <f t="shared" si="1"/>
        <v>0.1257205268957291</v>
      </c>
      <c r="L40" s="17">
        <f t="shared" si="1"/>
        <v>0.12285618842572488</v>
      </c>
      <c r="M40" s="15"/>
      <c r="N40" s="14" t="s">
        <v>285</v>
      </c>
    </row>
    <row r="41" spans="2:14" x14ac:dyDescent="0.3">
      <c r="B41" s="32" t="s">
        <v>113</v>
      </c>
      <c r="C41" s="15">
        <f>'Historical Data'!C17*'Historical Data'!C18</f>
        <v>19.2699</v>
      </c>
      <c r="D41" s="15">
        <f>'Historical Data'!D17*'Historical Data'!D18</f>
        <v>25.686</v>
      </c>
      <c r="E41" s="15">
        <f>'Historical Data'!E17*'Historical Data'!E18</f>
        <v>33.013599999999997</v>
      </c>
      <c r="F41" s="15">
        <f>'Historical Data'!F17*'Historical Data'!F18</f>
        <v>24.849499999999999</v>
      </c>
      <c r="G41" s="15">
        <f>'Historical Data'!G17*'Historical Data'!G18</f>
        <v>27.504900000000003</v>
      </c>
      <c r="H41" s="15">
        <f>'Income Statement'!D17</f>
        <v>29.684586959947449</v>
      </c>
      <c r="I41" s="15">
        <f>'Income Statement'!E17</f>
        <v>34.249843344102644</v>
      </c>
      <c r="J41" s="15">
        <f>'Income Statement'!F17</f>
        <v>39.205377626739519</v>
      </c>
      <c r="K41" s="15">
        <f>'Income Statement'!G17</f>
        <v>44.134298359119242</v>
      </c>
      <c r="L41" s="15">
        <f>'Income Statement'!H17</f>
        <v>49.556470034364359</v>
      </c>
      <c r="M41" s="15"/>
      <c r="N41" s="14" t="s">
        <v>286</v>
      </c>
    </row>
    <row r="42" spans="2:14" x14ac:dyDescent="0.3">
      <c r="B42" s="32" t="s">
        <v>114</v>
      </c>
      <c r="C42" s="8">
        <f>'Historical Data'!C25/Assumptions!$C$8</f>
        <v>143.99499582985823</v>
      </c>
      <c r="D42" s="8">
        <f>'Historical Data'!D25/Assumptions!$C$8</f>
        <v>166.72226855713095</v>
      </c>
      <c r="E42" s="8">
        <f>'Historical Data'!E25/Assumptions!$C$8</f>
        <v>195.24603836530443</v>
      </c>
      <c r="F42" s="8">
        <f>'Historical Data'!F25/Assumptions!$C$8</f>
        <v>202.25187656380317</v>
      </c>
      <c r="G42" s="8">
        <f>'Historical Data'!G25/Assumptions!$C$8</f>
        <v>222.81067556296912</v>
      </c>
      <c r="H42" s="8">
        <f>'Balance Sheet'!D18/Assumptions!$C$8</f>
        <v>242.60040020293411</v>
      </c>
      <c r="I42" s="8">
        <f>'Balance Sheet'!E18/Assumptions!$C$8</f>
        <v>265.43362909900253</v>
      </c>
      <c r="J42" s="8">
        <f>'Balance Sheet'!F18/Assumptions!$C$8</f>
        <v>291.57054751682887</v>
      </c>
      <c r="K42" s="8">
        <f>'Balance Sheet'!G18/Assumptions!$C$8</f>
        <v>320.99341308957503</v>
      </c>
      <c r="L42" s="8">
        <f>'Balance Sheet'!H18/Assumptions!$C$8</f>
        <v>354.03105977915129</v>
      </c>
      <c r="M42" s="15"/>
      <c r="N42" s="14" t="s">
        <v>287</v>
      </c>
    </row>
    <row r="43" spans="2:14" ht="22.8" x14ac:dyDescent="0.3">
      <c r="B43" s="32" t="s">
        <v>361</v>
      </c>
      <c r="G43" s="16">
        <f>Assumptions!$C$7/G39</f>
        <v>58.28343313373253</v>
      </c>
      <c r="H43" s="16">
        <f>Assumptions!$C$7/H39</f>
        <v>53.118475326186292</v>
      </c>
      <c r="I43" s="16">
        <f>Assumptions!$C$7/I39</f>
        <v>46.038166778111808</v>
      </c>
      <c r="J43" s="16">
        <f>Assumptions!$C$7/J39</f>
        <v>40.218972382109229</v>
      </c>
      <c r="K43" s="16">
        <f>Assumptions!$C$7/K39</f>
        <v>35.727315458141724</v>
      </c>
      <c r="L43" s="16">
        <f>Assumptions!$C$7/L39</f>
        <v>31.818246919253657</v>
      </c>
      <c r="M43" s="15"/>
      <c r="N43" s="14" t="s">
        <v>369</v>
      </c>
    </row>
    <row r="44" spans="2:14" x14ac:dyDescent="0.3">
      <c r="B44" s="32" t="s">
        <v>288</v>
      </c>
      <c r="G44" s="17">
        <f>G39*'Historical Data'!G18/Assumptions!$C$7</f>
        <v>1.046609589041096E-2</v>
      </c>
      <c r="H44" s="17">
        <f>'Income Statement'!D17/Assumptions!$C$7</f>
        <v>1.1295504931486853E-2</v>
      </c>
      <c r="I44" s="17">
        <f>'Income Statement'!E17/Assumptions!$C$7</f>
        <v>1.3032664895016227E-2</v>
      </c>
      <c r="J44" s="17">
        <f>'Income Statement'!F17/Assumptions!$C$7</f>
        <v>1.491833243026618E-2</v>
      </c>
      <c r="K44" s="17">
        <f>'Income Statement'!G17/Assumptions!$C$7</f>
        <v>1.6793873043804888E-2</v>
      </c>
      <c r="L44" s="17">
        <f>'Income Statement'!H17/Assumptions!$C$7</f>
        <v>1.8857104274872284E-2</v>
      </c>
      <c r="M44" s="15"/>
      <c r="N44" s="14" t="s">
        <v>289</v>
      </c>
    </row>
    <row r="45" spans="2:14" ht="22.8" x14ac:dyDescent="0.3">
      <c r="B45" s="32" t="s">
        <v>264</v>
      </c>
      <c r="C45" s="45">
        <f>'Historical Data'!C42</f>
        <v>475</v>
      </c>
      <c r="D45" s="45">
        <f>'Historical Data'!D42</f>
        <v>2774</v>
      </c>
      <c r="E45" s="45">
        <f>'Historical Data'!E42</f>
        <v>3613</v>
      </c>
      <c r="F45" s="45">
        <f>'Historical Data'!F42</f>
        <v>2604</v>
      </c>
      <c r="G45" s="45">
        <f>'Historical Data'!G42</f>
        <v>5604</v>
      </c>
      <c r="H45" s="45">
        <f>'Cash Flow'!D29</f>
        <v>3466.6449272212958</v>
      </c>
      <c r="I45" s="45">
        <f>'Cash Flow'!E29</f>
        <v>4376.4920225370352</v>
      </c>
      <c r="J45" s="45">
        <f>'Cash Flow'!F29</f>
        <v>5282.8511499169053</v>
      </c>
      <c r="K45" s="45">
        <f>'Cash Flow'!G29</f>
        <v>5926.4475346179152</v>
      </c>
      <c r="L45" s="45">
        <f>'Cash Flow'!H29</f>
        <v>6671.2410366541026</v>
      </c>
      <c r="M45" s="15"/>
      <c r="N45" s="14" t="s">
        <v>290</v>
      </c>
    </row>
    <row r="47" spans="2:14" x14ac:dyDescent="0.3">
      <c r="B47" s="18"/>
    </row>
  </sheetData>
  <mergeCells count="3">
    <mergeCell ref="C1:G1"/>
    <mergeCell ref="H1:L1"/>
    <mergeCell ref="A1:B1"/>
  </mergeCells>
  <pageMargins left="0.25" right="0.25" top="0.25" bottom="0.25" header="0.3" footer="0.3"/>
  <pageSetup scale="49" fitToHeight="0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high="1" last="1" xr2:uid="{3D35A7D8-D909-47B8-A684-0BB202F83A6A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</x14:sparklines>
        </x14:sparklineGroup>
        <x14:sparklineGroup displayEmptyCellsAs="span" high="1" last="1" xr2:uid="{ECCD842B-BEB6-4E0B-ACDE-CFDF6D2E17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</x14:sparklines>
        </x14:sparklineGroup>
        <x14:sparklineGroup displayEmptyCellsAs="span" high="1" last="1" xr2:uid="{8859F847-5909-44BE-87FF-930F0B90D3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</x14:sparklines>
        </x14:sparklineGroup>
        <x14:sparklineGroup displayEmptyCellsAs="span" high="1" last="1" xr2:uid="{2089501D-357D-4F57-85D6-940A5F1E6A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span" high="1" last="1" xr2:uid="{6911CAA2-DDE3-44AF-9CA5-7D5A1E87C3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Analysis'!C5:L5</xm:f>
              <xm:sqref>M5</xm:sqref>
            </x14:sparkline>
            <x14:sparkline>
              <xm:f>'Ratio Analysis'!C6:L6</xm:f>
              <xm:sqref>M6</xm:sqref>
            </x14:sparkline>
            <x14:sparkline>
              <xm:f>'Ratio Analysis'!C7:L7</xm:f>
              <xm:sqref>M7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DC07-84FC-4FC1-A93E-15A0B4DEB03D}">
  <sheetPr>
    <pageSetUpPr fitToPage="1"/>
  </sheetPr>
  <dimension ref="A1:H38"/>
  <sheetViews>
    <sheetView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40.77734375" customWidth="1"/>
    <col min="3" max="7" width="13.33203125" customWidth="1"/>
    <col min="8" max="8" width="95.77734375" customWidth="1"/>
  </cols>
  <sheetData>
    <row r="1" spans="1:8" ht="21" x14ac:dyDescent="0.3">
      <c r="A1" s="123" t="s">
        <v>417</v>
      </c>
      <c r="B1" s="123"/>
      <c r="C1" s="125" t="s">
        <v>410</v>
      </c>
      <c r="D1" s="126"/>
      <c r="E1" s="126"/>
      <c r="F1" s="126"/>
      <c r="G1" s="126"/>
      <c r="H1" s="95"/>
    </row>
    <row r="2" spans="1:8" x14ac:dyDescent="0.3">
      <c r="A2" s="95"/>
      <c r="B2" s="100" t="s">
        <v>408</v>
      </c>
      <c r="C2" s="101" t="s">
        <v>116</v>
      </c>
      <c r="D2" s="101" t="s">
        <v>117</v>
      </c>
      <c r="E2" s="101" t="s">
        <v>118</v>
      </c>
      <c r="F2" s="101" t="s">
        <v>119</v>
      </c>
      <c r="G2" s="101" t="s">
        <v>120</v>
      </c>
      <c r="H2" s="95"/>
    </row>
    <row r="4" spans="1:8" x14ac:dyDescent="0.3">
      <c r="B4" s="102" t="s">
        <v>115</v>
      </c>
    </row>
    <row r="5" spans="1:8" x14ac:dyDescent="0.3">
      <c r="C5" s="46"/>
      <c r="D5" s="46"/>
      <c r="E5" s="46"/>
      <c r="F5" s="46"/>
      <c r="G5" s="46"/>
      <c r="H5" s="13" t="s">
        <v>121</v>
      </c>
    </row>
    <row r="6" spans="1:8" x14ac:dyDescent="0.3">
      <c r="B6" s="32" t="s">
        <v>122</v>
      </c>
      <c r="C6" s="47">
        <v>46252</v>
      </c>
      <c r="H6" s="14" t="s">
        <v>144</v>
      </c>
    </row>
    <row r="7" spans="1:8" x14ac:dyDescent="0.3">
      <c r="B7" s="32" t="s">
        <v>123</v>
      </c>
      <c r="C7" s="39">
        <v>2628</v>
      </c>
      <c r="H7" s="14" t="s">
        <v>145</v>
      </c>
    </row>
    <row r="8" spans="1:8" x14ac:dyDescent="0.3">
      <c r="B8" s="32" t="s">
        <v>124</v>
      </c>
      <c r="C8" s="48">
        <v>95.92</v>
      </c>
      <c r="H8" s="14" t="s">
        <v>146</v>
      </c>
    </row>
    <row r="10" spans="1:8" x14ac:dyDescent="0.3">
      <c r="B10" s="102" t="s">
        <v>125</v>
      </c>
    </row>
    <row r="11" spans="1:8" x14ac:dyDescent="0.3">
      <c r="C11" s="46"/>
      <c r="D11" s="46"/>
      <c r="E11" s="46"/>
      <c r="F11" s="46"/>
      <c r="G11" s="46"/>
      <c r="H11" s="13" t="s">
        <v>121</v>
      </c>
    </row>
    <row r="12" spans="1:8" x14ac:dyDescent="0.3">
      <c r="B12" s="32" t="s">
        <v>430</v>
      </c>
      <c r="C12" s="110">
        <v>8.5000000000000006E-2</v>
      </c>
      <c r="D12" s="110">
        <v>0.08</v>
      </c>
      <c r="E12" s="110">
        <v>7.4999999999999997E-2</v>
      </c>
      <c r="F12" s="110">
        <v>7.0000000000000007E-2</v>
      </c>
      <c r="G12" s="110">
        <v>6.5000000000000002E-2</v>
      </c>
      <c r="H12" s="7" t="s">
        <v>479</v>
      </c>
    </row>
    <row r="13" spans="1:8" x14ac:dyDescent="0.3">
      <c r="B13" s="32" t="s">
        <v>431</v>
      </c>
      <c r="C13" s="110">
        <v>4.1500000000000002E-2</v>
      </c>
      <c r="D13" s="110">
        <v>2.8000000000000001E-2</v>
      </c>
      <c r="E13" s="110">
        <v>2.35E-2</v>
      </c>
      <c r="F13" s="110">
        <v>2.35E-2</v>
      </c>
      <c r="G13" s="110">
        <v>2.35E-2</v>
      </c>
      <c r="H13" s="7" t="s">
        <v>432</v>
      </c>
    </row>
    <row r="14" spans="1:8" x14ac:dyDescent="0.3">
      <c r="B14" s="32" t="s">
        <v>126</v>
      </c>
      <c r="C14" s="33">
        <f>(1+C12)*(1+C13)-1</f>
        <v>0.13002749999999996</v>
      </c>
      <c r="D14" s="33">
        <f>(1+D12)*(1+D13)-1</f>
        <v>0.11024000000000012</v>
      </c>
      <c r="E14" s="33">
        <f>(1+E12)*(1+E13)-1</f>
        <v>0.10026250000000014</v>
      </c>
      <c r="F14" s="33">
        <f>(1+F12)*(1+F13)-1</f>
        <v>9.5145000000000035E-2</v>
      </c>
      <c r="G14" s="33">
        <f>(1+G12)*(1+G13)-1</f>
        <v>9.0027499999999927E-2</v>
      </c>
      <c r="H14" s="111" t="s">
        <v>433</v>
      </c>
    </row>
    <row r="15" spans="1:8" ht="34.200000000000003" x14ac:dyDescent="0.3">
      <c r="B15" s="32" t="s">
        <v>105</v>
      </c>
      <c r="C15" s="34">
        <v>0.182</v>
      </c>
      <c r="D15" s="34">
        <v>0.186</v>
      </c>
      <c r="E15" s="34">
        <v>0.19</v>
      </c>
      <c r="F15" s="34">
        <v>0.192</v>
      </c>
      <c r="G15" s="34">
        <v>0.19500000000000001</v>
      </c>
      <c r="H15" s="14" t="s">
        <v>147</v>
      </c>
    </row>
    <row r="16" spans="1:8" ht="22.8" x14ac:dyDescent="0.3">
      <c r="B16" s="32" t="s">
        <v>434</v>
      </c>
      <c r="C16" s="34">
        <v>6.5000000000000002E-2</v>
      </c>
      <c r="D16" s="34">
        <v>6.5000000000000002E-2</v>
      </c>
      <c r="E16" s="34">
        <v>6.5000000000000002E-2</v>
      </c>
      <c r="F16" s="34">
        <v>6.5000000000000002E-2</v>
      </c>
      <c r="G16" s="34">
        <v>6.5000000000000002E-2</v>
      </c>
      <c r="H16" s="111" t="s">
        <v>435</v>
      </c>
    </row>
    <row r="17" spans="2:8" ht="22.8" x14ac:dyDescent="0.3">
      <c r="B17" s="32" t="s">
        <v>436</v>
      </c>
      <c r="C17" s="34">
        <v>7.4999999999999997E-3</v>
      </c>
      <c r="D17" s="34">
        <v>7.4999999999999997E-3</v>
      </c>
      <c r="E17" s="34">
        <v>7.4999999999999997E-3</v>
      </c>
      <c r="F17" s="34">
        <v>7.4999999999999997E-3</v>
      </c>
      <c r="G17" s="34">
        <v>7.4999999999999997E-3</v>
      </c>
      <c r="H17" s="111" t="s">
        <v>437</v>
      </c>
    </row>
    <row r="18" spans="2:8" ht="22.8" x14ac:dyDescent="0.3">
      <c r="B18" s="32" t="s">
        <v>127</v>
      </c>
      <c r="C18" s="34">
        <v>0.115</v>
      </c>
      <c r="D18" s="34">
        <v>0.115</v>
      </c>
      <c r="E18" s="34">
        <v>0.115</v>
      </c>
      <c r="F18" s="34">
        <v>0.115</v>
      </c>
      <c r="G18" s="34">
        <v>0.115</v>
      </c>
      <c r="H18" s="14" t="s">
        <v>148</v>
      </c>
    </row>
    <row r="19" spans="2:8" ht="34.200000000000003" x14ac:dyDescent="0.3">
      <c r="B19" s="32" t="s">
        <v>128</v>
      </c>
      <c r="C19" s="34">
        <v>0.05</v>
      </c>
      <c r="D19" s="34">
        <v>4.4999999999999998E-2</v>
      </c>
      <c r="E19" s="34">
        <v>0.04</v>
      </c>
      <c r="F19" s="34">
        <v>0.04</v>
      </c>
      <c r="G19" s="34">
        <v>0.04</v>
      </c>
      <c r="H19" s="14" t="s">
        <v>480</v>
      </c>
    </row>
    <row r="20" spans="2:8" x14ac:dyDescent="0.3">
      <c r="B20" s="32" t="s">
        <v>129</v>
      </c>
      <c r="C20" s="34">
        <v>0.26500000000000001</v>
      </c>
      <c r="D20" s="34">
        <v>0.26500000000000001</v>
      </c>
      <c r="E20" s="34">
        <v>0.26500000000000001</v>
      </c>
      <c r="F20" s="34">
        <v>0.26500000000000001</v>
      </c>
      <c r="G20" s="34">
        <v>0.26500000000000001</v>
      </c>
      <c r="H20" s="14" t="s">
        <v>149</v>
      </c>
    </row>
    <row r="21" spans="2:8" ht="22.8" x14ac:dyDescent="0.3">
      <c r="B21" s="32" t="s">
        <v>130</v>
      </c>
      <c r="C21" s="48">
        <v>46</v>
      </c>
      <c r="D21" s="48">
        <v>46</v>
      </c>
      <c r="E21" s="48">
        <v>46</v>
      </c>
      <c r="F21" s="48">
        <v>46</v>
      </c>
      <c r="G21" s="48">
        <v>46</v>
      </c>
      <c r="H21" s="14" t="s">
        <v>150</v>
      </c>
    </row>
    <row r="22" spans="2:8" ht="22.8" x14ac:dyDescent="0.3">
      <c r="B22" s="32" t="s">
        <v>455</v>
      </c>
      <c r="C22" s="66">
        <v>72</v>
      </c>
      <c r="D22" s="66">
        <v>71</v>
      </c>
      <c r="E22" s="66">
        <v>70</v>
      </c>
      <c r="F22" s="66">
        <v>69</v>
      </c>
      <c r="G22" s="66">
        <v>68</v>
      </c>
      <c r="H22" s="111" t="s">
        <v>456</v>
      </c>
    </row>
    <row r="23" spans="2:8" ht="22.8" x14ac:dyDescent="0.3">
      <c r="B23" s="32" t="s">
        <v>457</v>
      </c>
      <c r="C23" s="66">
        <v>49</v>
      </c>
      <c r="D23" s="66">
        <v>49</v>
      </c>
      <c r="E23" s="66">
        <v>49</v>
      </c>
      <c r="F23" s="66">
        <v>49</v>
      </c>
      <c r="G23" s="66">
        <v>49</v>
      </c>
      <c r="H23" s="111" t="s">
        <v>458</v>
      </c>
    </row>
    <row r="24" spans="2:8" x14ac:dyDescent="0.3">
      <c r="B24" s="32" t="s">
        <v>131</v>
      </c>
      <c r="C24" s="34">
        <v>6.5000000000000002E-2</v>
      </c>
      <c r="D24" s="34">
        <v>6.5000000000000002E-2</v>
      </c>
      <c r="E24" s="34">
        <v>6.5000000000000002E-2</v>
      </c>
      <c r="F24" s="34">
        <v>6.5000000000000002E-2</v>
      </c>
      <c r="G24" s="34">
        <v>6.5000000000000002E-2</v>
      </c>
      <c r="H24" s="14" t="s">
        <v>151</v>
      </c>
    </row>
    <row r="25" spans="2:8" ht="22.8" x14ac:dyDescent="0.3">
      <c r="B25" s="32" t="s">
        <v>132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14" t="s">
        <v>261</v>
      </c>
    </row>
    <row r="26" spans="2:8" x14ac:dyDescent="0.3">
      <c r="B26" s="32" t="s">
        <v>133</v>
      </c>
      <c r="C26" s="34">
        <v>0.6</v>
      </c>
      <c r="D26" s="34">
        <v>0.6</v>
      </c>
      <c r="E26" s="34">
        <v>0.6</v>
      </c>
      <c r="F26" s="34">
        <v>0.6</v>
      </c>
      <c r="G26" s="34">
        <v>0.6</v>
      </c>
      <c r="H26" s="14" t="s">
        <v>152</v>
      </c>
    </row>
    <row r="27" spans="2:8" ht="22.8" x14ac:dyDescent="0.3">
      <c r="B27" s="32" t="s">
        <v>134</v>
      </c>
      <c r="C27" s="49" t="s">
        <v>135</v>
      </c>
      <c r="D27" s="49" t="s">
        <v>136</v>
      </c>
      <c r="E27" s="49" t="s">
        <v>137</v>
      </c>
      <c r="F27" s="49"/>
      <c r="G27" s="49"/>
      <c r="H27" s="14" t="s">
        <v>153</v>
      </c>
    </row>
    <row r="29" spans="2:8" x14ac:dyDescent="0.3">
      <c r="B29" s="102" t="s">
        <v>138</v>
      </c>
    </row>
    <row r="30" spans="2:8" x14ac:dyDescent="0.3">
      <c r="C30" s="46"/>
      <c r="D30" s="46"/>
      <c r="E30" s="46"/>
      <c r="F30" s="46"/>
      <c r="G30" s="46"/>
      <c r="H30" s="13" t="s">
        <v>121</v>
      </c>
    </row>
    <row r="31" spans="2:8" x14ac:dyDescent="0.3">
      <c r="B31" s="32" t="s">
        <v>139</v>
      </c>
      <c r="C31" s="34">
        <v>6.5000000000000002E-2</v>
      </c>
      <c r="H31" s="111" t="s">
        <v>476</v>
      </c>
    </row>
    <row r="32" spans="2:8" x14ac:dyDescent="0.3">
      <c r="B32" s="32" t="s">
        <v>140</v>
      </c>
      <c r="C32" s="34">
        <v>0.06</v>
      </c>
      <c r="H32" s="111" t="s">
        <v>477</v>
      </c>
    </row>
    <row r="33" spans="2:8" x14ac:dyDescent="0.3">
      <c r="B33" s="32" t="s">
        <v>363</v>
      </c>
      <c r="C33" s="48">
        <v>0.85</v>
      </c>
      <c r="H33" s="111" t="s">
        <v>478</v>
      </c>
    </row>
    <row r="34" spans="2:8" x14ac:dyDescent="0.3">
      <c r="B34" s="32" t="s">
        <v>141</v>
      </c>
      <c r="C34" s="33">
        <f>C31+C33*C32</f>
        <v>0.11599999999999999</v>
      </c>
      <c r="H34" s="14" t="s">
        <v>154</v>
      </c>
    </row>
    <row r="35" spans="2:8" x14ac:dyDescent="0.3">
      <c r="B35" s="32" t="s">
        <v>142</v>
      </c>
      <c r="C35" s="34">
        <v>7.4999999999999997E-2</v>
      </c>
      <c r="H35" s="14" t="s">
        <v>155</v>
      </c>
    </row>
    <row r="36" spans="2:8" ht="22.8" x14ac:dyDescent="0.3">
      <c r="B36" s="32" t="s">
        <v>143</v>
      </c>
      <c r="C36" s="34">
        <v>4.4999999999999998E-2</v>
      </c>
      <c r="H36" s="111" t="s">
        <v>466</v>
      </c>
    </row>
    <row r="38" spans="2:8" x14ac:dyDescent="0.3">
      <c r="B38" s="7"/>
    </row>
  </sheetData>
  <mergeCells count="2">
    <mergeCell ref="C1:G1"/>
    <mergeCell ref="A1:B1"/>
  </mergeCells>
  <pageMargins left="0.25" right="0.25" top="0.25" bottom="0.25" header="0.3" footer="0.3"/>
  <pageSetup scale="5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7946-E940-49AC-AD8F-2AF74FEFDA72}">
  <sheetPr>
    <pageSetUpPr fitToPage="1"/>
  </sheetPr>
  <dimension ref="A1:I18"/>
  <sheetViews>
    <sheetView zoomScale="110" zoomScaleNormal="110" workbookViewId="0">
      <pane ySplit="2" topLeftCell="A3" activePane="bottomLeft" state="frozenSplit"/>
      <selection pane="bottomLeft" activeCell="D17" sqref="D17"/>
    </sheetView>
  </sheetViews>
  <sheetFormatPr defaultRowHeight="14.4" x14ac:dyDescent="0.3"/>
  <cols>
    <col min="1" max="1" width="4.33203125" customWidth="1"/>
    <col min="2" max="2" width="40.77734375" customWidth="1"/>
    <col min="3" max="8" width="13.33203125" customWidth="1"/>
    <col min="9" max="9" width="52.77734375" customWidth="1"/>
  </cols>
  <sheetData>
    <row r="1" spans="1:9" ht="21" x14ac:dyDescent="0.3">
      <c r="A1" s="123" t="s">
        <v>418</v>
      </c>
      <c r="B1" s="123"/>
      <c r="C1" s="99" t="s">
        <v>411</v>
      </c>
      <c r="D1" s="125" t="s">
        <v>410</v>
      </c>
      <c r="E1" s="126"/>
      <c r="F1" s="126"/>
      <c r="G1" s="126"/>
      <c r="H1" s="126"/>
      <c r="I1" s="95"/>
    </row>
    <row r="2" spans="1:9" x14ac:dyDescent="0.3">
      <c r="A2" s="95"/>
      <c r="B2" s="100" t="s">
        <v>408</v>
      </c>
      <c r="C2" s="101" t="s">
        <v>157</v>
      </c>
      <c r="D2" s="101" t="s">
        <v>116</v>
      </c>
      <c r="E2" s="101" t="s">
        <v>117</v>
      </c>
      <c r="F2" s="101" t="s">
        <v>118</v>
      </c>
      <c r="G2" s="101" t="s">
        <v>119</v>
      </c>
      <c r="H2" s="101" t="s">
        <v>120</v>
      </c>
      <c r="I2" s="95"/>
    </row>
    <row r="4" spans="1:9" x14ac:dyDescent="0.3">
      <c r="B4" s="102" t="s">
        <v>209</v>
      </c>
    </row>
    <row r="5" spans="1:9" x14ac:dyDescent="0.3">
      <c r="B5" s="50"/>
      <c r="C5" s="46"/>
      <c r="D5" s="46"/>
      <c r="E5" s="46"/>
      <c r="F5" s="46"/>
      <c r="G5" s="46"/>
      <c r="H5" s="46"/>
      <c r="I5" s="13" t="s">
        <v>158</v>
      </c>
    </row>
    <row r="6" spans="1:9" x14ac:dyDescent="0.3">
      <c r="B6" s="32" t="s">
        <v>210</v>
      </c>
      <c r="C6" s="53">
        <f>'Income Statement'!C4</f>
        <v>35584</v>
      </c>
      <c r="D6" s="53">
        <f>'Income Statement'!D4</f>
        <v>40210.898560000001</v>
      </c>
      <c r="E6" s="53">
        <f>'Income Statement'!E4</f>
        <v>44643.748017254409</v>
      </c>
      <c r="F6" s="53">
        <f>'Income Statement'!F4</f>
        <v>49119.841802834388</v>
      </c>
      <c r="G6" s="53">
        <f>'Income Statement'!G4</f>
        <v>53793.349151165065</v>
      </c>
      <c r="H6" s="53">
        <f>'Income Statement'!H4</f>
        <v>58636.229891871575</v>
      </c>
      <c r="I6" s="7" t="s">
        <v>211</v>
      </c>
    </row>
    <row r="7" spans="1:9" x14ac:dyDescent="0.3">
      <c r="B7" s="32" t="s">
        <v>459</v>
      </c>
      <c r="C7" s="53">
        <f>'Income Statement'!C6</f>
        <v>28884</v>
      </c>
      <c r="D7" s="53">
        <f>'Income Statement'!D6</f>
        <v>32892.515022079999</v>
      </c>
      <c r="E7" s="53">
        <f>'Income Statement'!E6</f>
        <v>36340.010886045085</v>
      </c>
      <c r="F7" s="53">
        <f>'Income Statement'!F6</f>
        <v>39787.071860295851</v>
      </c>
      <c r="G7" s="53">
        <f>'Income Statement'!G6</f>
        <v>43465.026114141372</v>
      </c>
      <c r="H7" s="53">
        <f>'Income Statement'!H6</f>
        <v>47202.165062956614</v>
      </c>
      <c r="I7" s="111" t="s">
        <v>460</v>
      </c>
    </row>
    <row r="8" spans="1:9" x14ac:dyDescent="0.3">
      <c r="B8" s="32" t="s">
        <v>212</v>
      </c>
      <c r="C8" s="51">
        <f>C14/C6*365</f>
        <v>45.82194244604316</v>
      </c>
      <c r="D8" s="52">
        <f>Assumptions!C21</f>
        <v>46</v>
      </c>
      <c r="E8" s="52">
        <f>Assumptions!D21</f>
        <v>46</v>
      </c>
      <c r="F8" s="52">
        <f>Assumptions!E21</f>
        <v>46</v>
      </c>
      <c r="G8" s="52">
        <f>Assumptions!F21</f>
        <v>46</v>
      </c>
      <c r="H8" s="52">
        <f>Assumptions!G21</f>
        <v>46</v>
      </c>
      <c r="I8" s="7" t="s">
        <v>218</v>
      </c>
    </row>
    <row r="9" spans="1:9" x14ac:dyDescent="0.3">
      <c r="B9" s="32" t="s">
        <v>455</v>
      </c>
      <c r="C9" s="51">
        <f>C15/C7*365</f>
        <v>72.581723445506157</v>
      </c>
      <c r="D9" s="52">
        <f>Assumptions!C22</f>
        <v>72</v>
      </c>
      <c r="E9" s="52">
        <f>Assumptions!D22</f>
        <v>71</v>
      </c>
      <c r="F9" s="52">
        <f>Assumptions!E22</f>
        <v>70</v>
      </c>
      <c r="G9" s="52">
        <f>Assumptions!F22</f>
        <v>69</v>
      </c>
      <c r="H9" s="52">
        <f>Assumptions!G22</f>
        <v>68</v>
      </c>
      <c r="I9" s="7" t="s">
        <v>218</v>
      </c>
    </row>
    <row r="10" spans="1:9" x14ac:dyDescent="0.3">
      <c r="B10" s="32" t="s">
        <v>457</v>
      </c>
      <c r="C10" s="51">
        <f>C16/C7*365</f>
        <v>48.817044038221844</v>
      </c>
      <c r="D10" s="52">
        <f>Assumptions!C23</f>
        <v>49</v>
      </c>
      <c r="E10" s="52">
        <f>Assumptions!D23</f>
        <v>49</v>
      </c>
      <c r="F10" s="52">
        <f>Assumptions!E23</f>
        <v>49</v>
      </c>
      <c r="G10" s="52">
        <f>Assumptions!F23</f>
        <v>49</v>
      </c>
      <c r="H10" s="52">
        <f>Assumptions!G23</f>
        <v>49</v>
      </c>
      <c r="I10" s="7" t="s">
        <v>218</v>
      </c>
    </row>
    <row r="12" spans="1:9" x14ac:dyDescent="0.3">
      <c r="B12" s="102" t="s">
        <v>213</v>
      </c>
    </row>
    <row r="13" spans="1:9" x14ac:dyDescent="0.3">
      <c r="B13" s="50"/>
      <c r="C13" s="46"/>
      <c r="D13" s="46"/>
      <c r="E13" s="46"/>
      <c r="F13" s="46"/>
      <c r="G13" s="46"/>
      <c r="H13" s="46"/>
      <c r="I13" s="13" t="s">
        <v>158</v>
      </c>
    </row>
    <row r="14" spans="1:9" x14ac:dyDescent="0.3">
      <c r="B14" s="32" t="s">
        <v>177</v>
      </c>
      <c r="C14" s="53">
        <f>'Balance Sheet'!C9</f>
        <v>4467.2</v>
      </c>
      <c r="D14" s="43">
        <f t="shared" ref="D14:H15" si="0">D6*D8/365</f>
        <v>5067.6748870136989</v>
      </c>
      <c r="E14" s="43">
        <f t="shared" si="0"/>
        <v>5626.3353665580898</v>
      </c>
      <c r="F14" s="43">
        <f t="shared" si="0"/>
        <v>6190.4458162476221</v>
      </c>
      <c r="G14" s="43">
        <f t="shared" si="0"/>
        <v>6779.435783434501</v>
      </c>
      <c r="H14" s="43">
        <f t="shared" si="0"/>
        <v>7389.7714384276505</v>
      </c>
      <c r="I14" s="7" t="s">
        <v>214</v>
      </c>
    </row>
    <row r="15" spans="1:9" x14ac:dyDescent="0.3">
      <c r="B15" s="32" t="s">
        <v>74</v>
      </c>
      <c r="C15" s="53">
        <f>'Balance Sheet'!C8</f>
        <v>5743.7</v>
      </c>
      <c r="D15" s="43">
        <f t="shared" si="0"/>
        <v>6488.3865249034516</v>
      </c>
      <c r="E15" s="43">
        <f t="shared" si="0"/>
        <v>7068.8788298882228</v>
      </c>
      <c r="F15" s="43">
        <f t="shared" si="0"/>
        <v>7630.3973430704373</v>
      </c>
      <c r="G15" s="43">
        <f t="shared" si="0"/>
        <v>8216.676169522616</v>
      </c>
      <c r="H15" s="43">
        <f t="shared" si="0"/>
        <v>8793.8280117289032</v>
      </c>
      <c r="I15" s="111" t="s">
        <v>461</v>
      </c>
    </row>
    <row r="16" spans="1:9" x14ac:dyDescent="0.3">
      <c r="B16" s="32" t="s">
        <v>184</v>
      </c>
      <c r="C16" s="53">
        <f>'Balance Sheet'!C21</f>
        <v>3863.1</v>
      </c>
      <c r="D16" s="43">
        <f>D7*D10/365</f>
        <v>4415.7074961148492</v>
      </c>
      <c r="E16" s="43">
        <f>E7*E10/365</f>
        <v>4878.5220093594771</v>
      </c>
      <c r="F16" s="43">
        <f>F7*F10/365</f>
        <v>5341.2781401493066</v>
      </c>
      <c r="G16" s="43">
        <f>G7*G10/365</f>
        <v>5835.030902994321</v>
      </c>
      <c r="H16" s="43">
        <f>H7*H10/365</f>
        <v>6336.7290084517099</v>
      </c>
      <c r="I16" s="111" t="s">
        <v>462</v>
      </c>
    </row>
    <row r="17" spans="2:9" x14ac:dyDescent="0.3">
      <c r="B17" s="83" t="s">
        <v>215</v>
      </c>
      <c r="C17" s="76">
        <f t="shared" ref="C17:H17" si="1">C14+C15-C16</f>
        <v>6347.7999999999993</v>
      </c>
      <c r="D17" s="76">
        <f t="shared" si="1"/>
        <v>7140.3539158023023</v>
      </c>
      <c r="E17" s="76">
        <f t="shared" si="1"/>
        <v>7816.6921870868346</v>
      </c>
      <c r="F17" s="76">
        <f t="shared" si="1"/>
        <v>8479.5650191687528</v>
      </c>
      <c r="G17" s="76">
        <f t="shared" si="1"/>
        <v>9161.0810499627951</v>
      </c>
      <c r="H17" s="76">
        <f t="shared" si="1"/>
        <v>9846.8704417048448</v>
      </c>
    </row>
    <row r="18" spans="2:9" x14ac:dyDescent="0.3">
      <c r="B18" s="32" t="s">
        <v>216</v>
      </c>
      <c r="D18" s="43">
        <f>C17-D17</f>
        <v>-792.55391580230298</v>
      </c>
      <c r="E18" s="43">
        <f>D17-E17</f>
        <v>-676.33827128453231</v>
      </c>
      <c r="F18" s="43">
        <f>E17-F17</f>
        <v>-662.8728320819182</v>
      </c>
      <c r="G18" s="43">
        <f>F17-G17</f>
        <v>-681.51603079404231</v>
      </c>
      <c r="H18" s="43">
        <f>G17-H17</f>
        <v>-685.7893917420497</v>
      </c>
      <c r="I18" s="7" t="s">
        <v>217</v>
      </c>
    </row>
  </sheetData>
  <mergeCells count="2">
    <mergeCell ref="D1:H1"/>
    <mergeCell ref="A1:B1"/>
  </mergeCells>
  <pageMargins left="0.25" right="0.25" top="0.25" bottom="0.25" header="0.3" footer="0.3"/>
  <pageSetup scale="7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60BC-64C0-4AB8-9021-97858E3189B2}">
  <sheetPr>
    <pageSetUpPr fitToPage="1"/>
  </sheetPr>
  <dimension ref="A1:I15"/>
  <sheetViews>
    <sheetView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40.77734375" customWidth="1"/>
    <col min="3" max="8" width="13.33203125" customWidth="1"/>
    <col min="9" max="9" width="52.77734375" customWidth="1"/>
  </cols>
  <sheetData>
    <row r="1" spans="1:9" ht="21" x14ac:dyDescent="0.3">
      <c r="A1" s="123" t="s">
        <v>419</v>
      </c>
      <c r="B1" s="123"/>
      <c r="C1" s="99" t="s">
        <v>411</v>
      </c>
      <c r="D1" s="125" t="s">
        <v>410</v>
      </c>
      <c r="E1" s="126"/>
      <c r="F1" s="126"/>
      <c r="G1" s="126"/>
      <c r="H1" s="126"/>
      <c r="I1" s="95"/>
    </row>
    <row r="2" spans="1:9" x14ac:dyDescent="0.3">
      <c r="A2" s="95"/>
      <c r="B2" s="100" t="s">
        <v>408</v>
      </c>
      <c r="C2" s="101" t="s">
        <v>157</v>
      </c>
      <c r="D2" s="101" t="s">
        <v>116</v>
      </c>
      <c r="E2" s="101" t="s">
        <v>117</v>
      </c>
      <c r="F2" s="101" t="s">
        <v>118</v>
      </c>
      <c r="G2" s="101" t="s">
        <v>119</v>
      </c>
      <c r="H2" s="101" t="s">
        <v>120</v>
      </c>
      <c r="I2" s="95"/>
    </row>
    <row r="3" spans="1:9" s="105" customFormat="1" x14ac:dyDescent="0.3">
      <c r="B3" s="103"/>
      <c r="C3" s="104"/>
      <c r="D3" s="104"/>
      <c r="E3" s="104"/>
      <c r="F3" s="104"/>
      <c r="G3" s="104"/>
      <c r="H3" s="104"/>
    </row>
    <row r="4" spans="1:9" x14ac:dyDescent="0.3">
      <c r="B4" s="102" t="s">
        <v>209</v>
      </c>
    </row>
    <row r="5" spans="1:9" x14ac:dyDescent="0.3">
      <c r="B5" s="50"/>
      <c r="C5" s="46"/>
      <c r="D5" s="46"/>
      <c r="E5" s="46"/>
      <c r="F5" s="46"/>
      <c r="G5" s="46"/>
      <c r="H5" s="46"/>
      <c r="I5" s="13" t="s">
        <v>158</v>
      </c>
    </row>
    <row r="6" spans="1:9" x14ac:dyDescent="0.3">
      <c r="B6" s="32" t="s">
        <v>210</v>
      </c>
      <c r="C6" s="53">
        <f>'Income Statement'!C4</f>
        <v>35584</v>
      </c>
      <c r="D6" s="53">
        <f>'Income Statement'!D4</f>
        <v>40210.898560000001</v>
      </c>
      <c r="E6" s="53">
        <f>'Income Statement'!E4</f>
        <v>44643.748017254409</v>
      </c>
      <c r="F6" s="53">
        <f>'Income Statement'!F4</f>
        <v>49119.841802834388</v>
      </c>
      <c r="G6" s="53">
        <f>'Income Statement'!G4</f>
        <v>53793.349151165065</v>
      </c>
      <c r="H6" s="53">
        <f>'Income Statement'!H4</f>
        <v>58636.229891871575</v>
      </c>
    </row>
    <row r="7" spans="1:9" x14ac:dyDescent="0.3">
      <c r="B7" s="32" t="s">
        <v>128</v>
      </c>
      <c r="D7" s="54">
        <f>Assumptions!C19</f>
        <v>0.05</v>
      </c>
      <c r="E7" s="54">
        <f>Assumptions!D19</f>
        <v>4.4999999999999998E-2</v>
      </c>
      <c r="F7" s="54">
        <f>Assumptions!E19</f>
        <v>0.04</v>
      </c>
      <c r="G7" s="54">
        <f>Assumptions!F19</f>
        <v>0.04</v>
      </c>
      <c r="H7" s="54">
        <f>Assumptions!G19</f>
        <v>0.04</v>
      </c>
    </row>
    <row r="8" spans="1:9" x14ac:dyDescent="0.3">
      <c r="B8" s="32" t="s">
        <v>219</v>
      </c>
      <c r="D8" s="54">
        <f>Assumptions!C18</f>
        <v>0.115</v>
      </c>
      <c r="E8" s="54">
        <f>Assumptions!D18</f>
        <v>0.115</v>
      </c>
      <c r="F8" s="54">
        <f>Assumptions!E18</f>
        <v>0.115</v>
      </c>
      <c r="G8" s="54">
        <f>Assumptions!F18</f>
        <v>0.115</v>
      </c>
      <c r="H8" s="54">
        <f>Assumptions!G18</f>
        <v>0.115</v>
      </c>
    </row>
    <row r="10" spans="1:9" x14ac:dyDescent="0.3">
      <c r="B10" s="102" t="s">
        <v>220</v>
      </c>
    </row>
    <row r="11" spans="1:9" x14ac:dyDescent="0.3">
      <c r="B11" s="50"/>
      <c r="C11" s="46"/>
      <c r="D11" s="46"/>
      <c r="E11" s="46"/>
      <c r="F11" s="46"/>
      <c r="G11" s="46"/>
      <c r="H11" s="46"/>
      <c r="I11" s="13" t="s">
        <v>158</v>
      </c>
    </row>
    <row r="12" spans="1:9" x14ac:dyDescent="0.3">
      <c r="B12" s="32" t="s">
        <v>221</v>
      </c>
      <c r="D12" s="53">
        <f>'Balance Sheet'!C6</f>
        <v>11489</v>
      </c>
      <c r="E12" s="43">
        <f>D15</f>
        <v>12062.703594639999</v>
      </c>
      <c r="F12" s="43">
        <f>E15</f>
        <v>12568.945644038202</v>
      </c>
      <c r="G12" s="43">
        <f>F15</f>
        <v>12975.334930940666</v>
      </c>
      <c r="H12" s="43">
        <f>G15</f>
        <v>13511.180676881411</v>
      </c>
      <c r="I12" s="7" t="s">
        <v>222</v>
      </c>
    </row>
    <row r="13" spans="1:9" x14ac:dyDescent="0.3">
      <c r="B13" s="32" t="s">
        <v>223</v>
      </c>
      <c r="C13" s="53">
        <f>-'Cash Flow'!C14</f>
        <v>1484</v>
      </c>
      <c r="D13" s="43">
        <f>D6*D7</f>
        <v>2010.5449280000003</v>
      </c>
      <c r="E13" s="43">
        <f>E6*E7</f>
        <v>2008.9686607764484</v>
      </c>
      <c r="F13" s="43">
        <f>F6*F7</f>
        <v>1964.7936721133756</v>
      </c>
      <c r="G13" s="43">
        <f>G6*G7</f>
        <v>2151.7339660466027</v>
      </c>
      <c r="H13" s="43">
        <f>H6*H7</f>
        <v>2345.4491956748629</v>
      </c>
      <c r="I13" s="7" t="s">
        <v>224</v>
      </c>
    </row>
    <row r="14" spans="1:9" x14ac:dyDescent="0.3">
      <c r="B14" s="32" t="s">
        <v>225</v>
      </c>
      <c r="C14" s="53">
        <f>'Income Statement'!C10</f>
        <v>1229</v>
      </c>
      <c r="D14" s="43">
        <f>D8*(D12+0.5*D13)</f>
        <v>1436.8413333600001</v>
      </c>
      <c r="E14" s="43">
        <f>E8*(E12+0.5*E13)</f>
        <v>1502.7266113782457</v>
      </c>
      <c r="F14" s="43">
        <f>F8*(F12+0.5*F13)</f>
        <v>1558.4043852109123</v>
      </c>
      <c r="G14" s="43">
        <f>G8*(G12+0.5*G13)</f>
        <v>1615.8882201058564</v>
      </c>
      <c r="H14" s="43">
        <f>H8*(H12+0.5*H13)</f>
        <v>1688.6491065926671</v>
      </c>
      <c r="I14" s="7" t="s">
        <v>226</v>
      </c>
    </row>
    <row r="15" spans="1:9" x14ac:dyDescent="0.3">
      <c r="B15" s="83" t="s">
        <v>227</v>
      </c>
      <c r="C15" s="84">
        <f>'Balance Sheet'!C6</f>
        <v>11489</v>
      </c>
      <c r="D15" s="76">
        <f>D12+D13-D14</f>
        <v>12062.703594639999</v>
      </c>
      <c r="E15" s="76">
        <f>E12+E13-E14</f>
        <v>12568.945644038202</v>
      </c>
      <c r="F15" s="76">
        <f>F12+F13-F14</f>
        <v>12975.334930940666</v>
      </c>
      <c r="G15" s="76">
        <f>G12+G13-G14</f>
        <v>13511.180676881411</v>
      </c>
      <c r="H15" s="76">
        <f>H12+H13-H14</f>
        <v>14167.980765963606</v>
      </c>
      <c r="I15" s="7" t="s">
        <v>228</v>
      </c>
    </row>
  </sheetData>
  <mergeCells count="2">
    <mergeCell ref="D1:H1"/>
    <mergeCell ref="A1:B1"/>
  </mergeCells>
  <pageMargins left="0.25" right="0.25" top="0.25" bottom="0.25" header="0.3" footer="0.3"/>
  <pageSetup scale="7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16C9-58BD-4109-AE3E-CBC0990B1805}">
  <sheetPr>
    <pageSetUpPr fitToPage="1"/>
  </sheetPr>
  <dimension ref="A1:I18"/>
  <sheetViews>
    <sheetView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40.77734375" customWidth="1"/>
    <col min="3" max="8" width="13.33203125" customWidth="1"/>
    <col min="9" max="9" width="52.77734375" customWidth="1"/>
  </cols>
  <sheetData>
    <row r="1" spans="1:9" ht="14.4" customHeight="1" x14ac:dyDescent="0.3">
      <c r="A1" s="123" t="s">
        <v>420</v>
      </c>
      <c r="B1" s="123"/>
      <c r="C1" s="99" t="s">
        <v>411</v>
      </c>
      <c r="D1" s="125" t="s">
        <v>410</v>
      </c>
      <c r="E1" s="126"/>
      <c r="F1" s="126"/>
      <c r="G1" s="126"/>
      <c r="H1" s="126"/>
      <c r="I1" s="95"/>
    </row>
    <row r="2" spans="1:9" x14ac:dyDescent="0.3">
      <c r="A2" s="95"/>
      <c r="B2" s="100" t="s">
        <v>408</v>
      </c>
      <c r="C2" s="101" t="s">
        <v>157</v>
      </c>
      <c r="D2" s="101" t="s">
        <v>116</v>
      </c>
      <c r="E2" s="101" t="s">
        <v>117</v>
      </c>
      <c r="F2" s="101" t="s">
        <v>118</v>
      </c>
      <c r="G2" s="101" t="s">
        <v>119</v>
      </c>
      <c r="H2" s="101" t="s">
        <v>120</v>
      </c>
      <c r="I2" s="95"/>
    </row>
    <row r="3" spans="1:9" s="105" customFormat="1" x14ac:dyDescent="0.3">
      <c r="B3" s="103"/>
      <c r="C3" s="104"/>
      <c r="D3" s="104"/>
      <c r="E3" s="104"/>
      <c r="F3" s="104"/>
      <c r="G3" s="104"/>
      <c r="H3" s="104"/>
    </row>
    <row r="4" spans="1:9" x14ac:dyDescent="0.3">
      <c r="B4" s="102" t="s">
        <v>246</v>
      </c>
    </row>
    <row r="5" spans="1:9" x14ac:dyDescent="0.3">
      <c r="B5" s="50"/>
      <c r="C5" s="46"/>
      <c r="D5" s="46"/>
      <c r="E5" s="46"/>
      <c r="F5" s="46"/>
      <c r="G5" s="46"/>
      <c r="H5" s="46"/>
      <c r="I5" s="13" t="s">
        <v>158</v>
      </c>
    </row>
    <row r="6" spans="1:9" x14ac:dyDescent="0.3">
      <c r="B6" s="32" t="s">
        <v>247</v>
      </c>
      <c r="D6" s="53">
        <f>'Balance Sheet'!C19</f>
        <v>2293.4</v>
      </c>
      <c r="E6" s="43">
        <f>D8</f>
        <v>2293.4</v>
      </c>
      <c r="F6" s="43">
        <f>E8</f>
        <v>2293.4</v>
      </c>
      <c r="G6" s="43">
        <f>F8</f>
        <v>2293.4</v>
      </c>
      <c r="H6" s="43">
        <f>G8</f>
        <v>2293.4</v>
      </c>
      <c r="I6" s="7" t="s">
        <v>229</v>
      </c>
    </row>
    <row r="7" spans="1:9" x14ac:dyDescent="0.3">
      <c r="B7" s="32" t="s">
        <v>230</v>
      </c>
      <c r="D7" s="53">
        <f>Assumptions!C25</f>
        <v>0</v>
      </c>
      <c r="E7" s="53">
        <f>Assumptions!D25</f>
        <v>0</v>
      </c>
      <c r="F7" s="53">
        <f>Assumptions!E25</f>
        <v>0</v>
      </c>
      <c r="G7" s="53">
        <f>Assumptions!F25</f>
        <v>0</v>
      </c>
      <c r="H7" s="53">
        <f>Assumptions!G25</f>
        <v>0</v>
      </c>
      <c r="I7" s="7" t="s">
        <v>231</v>
      </c>
    </row>
    <row r="8" spans="1:9" x14ac:dyDescent="0.3">
      <c r="B8" s="83" t="s">
        <v>248</v>
      </c>
      <c r="C8" s="84">
        <f>'Balance Sheet'!C19</f>
        <v>2293.4</v>
      </c>
      <c r="D8" s="76">
        <f>D6+D7</f>
        <v>2293.4</v>
      </c>
      <c r="E8" s="76">
        <f>E6+E7</f>
        <v>2293.4</v>
      </c>
      <c r="F8" s="76">
        <f>F6+F7</f>
        <v>2293.4</v>
      </c>
      <c r="G8" s="76">
        <f>G6+G7</f>
        <v>2293.4</v>
      </c>
      <c r="H8" s="76">
        <f>H6+H7</f>
        <v>2293.4</v>
      </c>
      <c r="I8" s="7" t="s">
        <v>249</v>
      </c>
    </row>
    <row r="9" spans="1:9" x14ac:dyDescent="0.3">
      <c r="B9" s="32" t="s">
        <v>250</v>
      </c>
      <c r="C9" s="55"/>
      <c r="D9" s="53">
        <f>'Balance Sheet'!C20</f>
        <v>1635.6</v>
      </c>
      <c r="E9" s="43">
        <f>D11</f>
        <v>1635.6</v>
      </c>
      <c r="F9" s="43">
        <f>E11</f>
        <v>1635.6</v>
      </c>
      <c r="G9" s="43">
        <f>F11</f>
        <v>1635.6</v>
      </c>
      <c r="H9" s="43">
        <f>G11</f>
        <v>1635.6</v>
      </c>
      <c r="I9" s="7"/>
    </row>
    <row r="10" spans="1:9" x14ac:dyDescent="0.3">
      <c r="B10" s="32" t="s">
        <v>251</v>
      </c>
      <c r="C10" s="55"/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7" t="s">
        <v>254</v>
      </c>
    </row>
    <row r="11" spans="1:9" x14ac:dyDescent="0.3">
      <c r="B11" s="83" t="s">
        <v>252</v>
      </c>
      <c r="C11" s="84">
        <f>'Balance Sheet'!C20</f>
        <v>1635.6</v>
      </c>
      <c r="D11" s="76">
        <f>D9+D10</f>
        <v>1635.6</v>
      </c>
      <c r="E11" s="76">
        <f>E9+E10</f>
        <v>1635.6</v>
      </c>
      <c r="F11" s="76">
        <f>F9+F10</f>
        <v>1635.6</v>
      </c>
      <c r="G11" s="76">
        <f>G9+G10</f>
        <v>1635.6</v>
      </c>
      <c r="H11" s="76">
        <f>H9+H10</f>
        <v>1635.6</v>
      </c>
      <c r="I11" s="7" t="s">
        <v>255</v>
      </c>
    </row>
    <row r="12" spans="1:9" x14ac:dyDescent="0.3">
      <c r="B12" s="85" t="s">
        <v>253</v>
      </c>
      <c r="C12" s="81">
        <f t="shared" ref="C12:H12" si="0">C8+C11</f>
        <v>3929</v>
      </c>
      <c r="D12" s="81">
        <f t="shared" si="0"/>
        <v>3929</v>
      </c>
      <c r="E12" s="81">
        <f t="shared" si="0"/>
        <v>3929</v>
      </c>
      <c r="F12" s="81">
        <f t="shared" si="0"/>
        <v>3929</v>
      </c>
      <c r="G12" s="81">
        <f t="shared" si="0"/>
        <v>3929</v>
      </c>
      <c r="H12" s="81">
        <f t="shared" si="0"/>
        <v>3929</v>
      </c>
      <c r="I12" s="7"/>
    </row>
    <row r="13" spans="1:9" x14ac:dyDescent="0.3">
      <c r="B13" s="50"/>
      <c r="C13" s="55"/>
      <c r="D13" s="41"/>
      <c r="E13" s="41"/>
      <c r="F13" s="41"/>
      <c r="G13" s="41"/>
      <c r="H13" s="41"/>
      <c r="I13" s="7"/>
    </row>
    <row r="15" spans="1:9" x14ac:dyDescent="0.3">
      <c r="B15" s="102" t="s">
        <v>232</v>
      </c>
    </row>
    <row r="16" spans="1:9" x14ac:dyDescent="0.3">
      <c r="B16" s="50"/>
      <c r="C16" s="46"/>
      <c r="D16" s="46"/>
      <c r="E16" s="46"/>
      <c r="F16" s="46"/>
      <c r="G16" s="46"/>
      <c r="H16" s="46"/>
      <c r="I16" s="13" t="s">
        <v>158</v>
      </c>
    </row>
    <row r="17" spans="2:9" x14ac:dyDescent="0.3">
      <c r="B17" s="32" t="s">
        <v>233</v>
      </c>
      <c r="D17" s="54">
        <f>Assumptions!C24</f>
        <v>6.5000000000000002E-2</v>
      </c>
      <c r="E17" s="54">
        <f>Assumptions!D24</f>
        <v>6.5000000000000002E-2</v>
      </c>
      <c r="F17" s="54">
        <f>Assumptions!E24</f>
        <v>6.5000000000000002E-2</v>
      </c>
      <c r="G17" s="54">
        <f>Assumptions!F24</f>
        <v>6.5000000000000002E-2</v>
      </c>
      <c r="H17" s="54">
        <f>Assumptions!G24</f>
        <v>6.5000000000000002E-2</v>
      </c>
    </row>
    <row r="18" spans="2:9" x14ac:dyDescent="0.3">
      <c r="B18" s="83" t="s">
        <v>234</v>
      </c>
      <c r="C18" s="84">
        <f>'Income Statement'!C11</f>
        <v>195</v>
      </c>
      <c r="D18" s="84">
        <f>D17*(D6+D9)</f>
        <v>255.38500000000002</v>
      </c>
      <c r="E18" s="84">
        <f>E17*(E6+E9)</f>
        <v>255.38500000000002</v>
      </c>
      <c r="F18" s="84">
        <f>F17*(F6+F9)</f>
        <v>255.38500000000002</v>
      </c>
      <c r="G18" s="84">
        <f>G17*(G6+G9)</f>
        <v>255.38500000000002</v>
      </c>
      <c r="H18" s="84">
        <f>H17*(H6+H9)</f>
        <v>255.38500000000002</v>
      </c>
      <c r="I18" s="7" t="s">
        <v>256</v>
      </c>
    </row>
  </sheetData>
  <mergeCells count="2">
    <mergeCell ref="D1:H1"/>
    <mergeCell ref="A1:B1"/>
  </mergeCells>
  <pageMargins left="0.25" right="0.25" top="0.25" bottom="0.25" header="0.3" footer="0.3"/>
  <pageSetup scale="7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9E2A-BF15-48E8-9F9F-3CCDB24A1E67}">
  <sheetPr>
    <pageSetUpPr fitToPage="1"/>
  </sheetPr>
  <dimension ref="A1:I19"/>
  <sheetViews>
    <sheetView zoomScale="110" zoomScaleNormal="110"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38.77734375" customWidth="1"/>
    <col min="3" max="8" width="13.33203125" customWidth="1"/>
    <col min="9" max="9" width="46.77734375" customWidth="1"/>
  </cols>
  <sheetData>
    <row r="1" spans="1:9" ht="14.4" customHeight="1" x14ac:dyDescent="0.3">
      <c r="A1" s="123" t="s">
        <v>156</v>
      </c>
      <c r="B1" s="123"/>
      <c r="C1" s="99" t="s">
        <v>411</v>
      </c>
      <c r="D1" s="125" t="s">
        <v>410</v>
      </c>
      <c r="E1" s="126"/>
      <c r="F1" s="126"/>
      <c r="G1" s="126"/>
      <c r="H1" s="126"/>
      <c r="I1" s="95"/>
    </row>
    <row r="2" spans="1:9" x14ac:dyDescent="0.3">
      <c r="A2" s="95"/>
      <c r="B2" s="100" t="s">
        <v>408</v>
      </c>
      <c r="C2" s="101" t="s">
        <v>157</v>
      </c>
      <c r="D2" s="101" t="s">
        <v>116</v>
      </c>
      <c r="E2" s="101" t="s">
        <v>117</v>
      </c>
      <c r="F2" s="101" t="s">
        <v>118</v>
      </c>
      <c r="G2" s="101" t="s">
        <v>119</v>
      </c>
      <c r="H2" s="101" t="s">
        <v>120</v>
      </c>
      <c r="I2" s="95"/>
    </row>
    <row r="3" spans="1:9" x14ac:dyDescent="0.3">
      <c r="B3" s="50"/>
      <c r="C3" s="46"/>
      <c r="D3" s="46"/>
      <c r="E3" s="46"/>
      <c r="F3" s="46"/>
      <c r="G3" s="46"/>
      <c r="H3" s="46"/>
      <c r="I3" s="13" t="s">
        <v>158</v>
      </c>
    </row>
    <row r="4" spans="1:9" x14ac:dyDescent="0.3">
      <c r="B4" s="50" t="s">
        <v>159</v>
      </c>
      <c r="C4" s="55">
        <f>'Historical Data'!G6</f>
        <v>35584</v>
      </c>
      <c r="D4" s="55">
        <f>C4*(1+Assumptions!C14)</f>
        <v>40210.898560000001</v>
      </c>
      <c r="E4" s="55">
        <f>D4*(1+Assumptions!D14)</f>
        <v>44643.748017254409</v>
      </c>
      <c r="F4" s="55">
        <f>E4*(1+Assumptions!E14)</f>
        <v>49119.841802834388</v>
      </c>
      <c r="G4" s="55">
        <f>F4*(1+Assumptions!F14)</f>
        <v>53793.349151165065</v>
      </c>
      <c r="H4" s="55">
        <f>G4*(1+Assumptions!G14)</f>
        <v>58636.229891871575</v>
      </c>
    </row>
    <row r="5" spans="1:9" x14ac:dyDescent="0.3">
      <c r="B5" s="32" t="s">
        <v>126</v>
      </c>
      <c r="D5" s="33">
        <f>D4/C4-1</f>
        <v>0.13002749999999996</v>
      </c>
      <c r="E5" s="33">
        <f>E4/D4-1</f>
        <v>0.11024000000000012</v>
      </c>
      <c r="F5" s="33">
        <f>F4/E4-1</f>
        <v>0.10026250000000014</v>
      </c>
      <c r="G5" s="33">
        <f>G4/F4-1</f>
        <v>9.5145000000000035E-2</v>
      </c>
      <c r="H5" s="33">
        <f>H4/G4-1</f>
        <v>9.0027499999999927E-2</v>
      </c>
      <c r="I5" s="7" t="s">
        <v>160</v>
      </c>
    </row>
    <row r="6" spans="1:9" x14ac:dyDescent="0.3">
      <c r="B6" s="32" t="s">
        <v>34</v>
      </c>
      <c r="C6" s="43">
        <f t="shared" ref="C6:H6" si="0">C4-C7</f>
        <v>28884</v>
      </c>
      <c r="D6" s="43">
        <f t="shared" si="0"/>
        <v>32892.515022079999</v>
      </c>
      <c r="E6" s="43">
        <f t="shared" si="0"/>
        <v>36340.010886045085</v>
      </c>
      <c r="F6" s="43">
        <f t="shared" si="0"/>
        <v>39787.071860295851</v>
      </c>
      <c r="G6" s="43">
        <f t="shared" si="0"/>
        <v>43465.026114141372</v>
      </c>
      <c r="H6" s="43">
        <f t="shared" si="0"/>
        <v>47202.165062956614</v>
      </c>
      <c r="I6" s="7" t="s">
        <v>161</v>
      </c>
    </row>
    <row r="7" spans="1:9" x14ac:dyDescent="0.3">
      <c r="B7" s="83" t="s">
        <v>162</v>
      </c>
      <c r="C7" s="84">
        <f>'Historical Data'!G8</f>
        <v>6700</v>
      </c>
      <c r="D7" s="84">
        <f>D4*Assumptions!C15</f>
        <v>7318.38353792</v>
      </c>
      <c r="E7" s="84">
        <f>E4*Assumptions!D15</f>
        <v>8303.7371312093201</v>
      </c>
      <c r="F7" s="84">
        <f>F4*Assumptions!E15</f>
        <v>9332.7699425385345</v>
      </c>
      <c r="G7" s="84">
        <f>G4*Assumptions!F15</f>
        <v>10328.323037023692</v>
      </c>
      <c r="H7" s="84">
        <f>H4*Assumptions!G15</f>
        <v>11434.064828914958</v>
      </c>
      <c r="I7" s="7" t="s">
        <v>163</v>
      </c>
    </row>
    <row r="8" spans="1:9" x14ac:dyDescent="0.3">
      <c r="B8" s="32" t="s">
        <v>105</v>
      </c>
      <c r="C8" s="33">
        <f t="shared" ref="C8:H8" si="1">C7/C4</f>
        <v>0.18828687050359713</v>
      </c>
      <c r="D8" s="33">
        <f t="shared" si="1"/>
        <v>0.182</v>
      </c>
      <c r="E8" s="33">
        <f t="shared" si="1"/>
        <v>0.186</v>
      </c>
      <c r="F8" s="33">
        <f t="shared" si="1"/>
        <v>0.19000000000000003</v>
      </c>
      <c r="G8" s="33">
        <f t="shared" si="1"/>
        <v>0.192</v>
      </c>
      <c r="H8" s="33">
        <f t="shared" si="1"/>
        <v>0.19500000000000001</v>
      </c>
    </row>
    <row r="9" spans="1:9" x14ac:dyDescent="0.3">
      <c r="B9" s="32" t="s">
        <v>37</v>
      </c>
      <c r="C9" s="53">
        <f>'Historical Data'!G10</f>
        <v>728</v>
      </c>
      <c r="D9" s="53">
        <f>Assumptions!C16*('Balance Sheet'!C10+'Balance Sheet'!C7)+Assumptions!C17*D4</f>
        <v>830.40873920000001</v>
      </c>
      <c r="E9" s="53">
        <f>Assumptions!D16*('Balance Sheet'!D10+'Balance Sheet'!D7)+Assumptions!D17*E4</f>
        <v>903.90956762091196</v>
      </c>
      <c r="F9" s="53">
        <f>Assumptions!E16*('Balance Sheet'!E10+'Balance Sheet'!E7)+Assumptions!E17*F4</f>
        <v>1008.4113291958579</v>
      </c>
      <c r="G9" s="53">
        <f>Assumptions!F16*('Balance Sheet'!F10+'Balance Sheet'!F7)+Assumptions!F17*G4</f>
        <v>1142.4102706257413</v>
      </c>
      <c r="H9" s="53">
        <f>Assumptions!G16*('Balance Sheet'!G10+'Balance Sheet'!G7)+Assumptions!G17*H4</f>
        <v>1288.782442521768</v>
      </c>
      <c r="I9" s="7" t="s">
        <v>438</v>
      </c>
    </row>
    <row r="10" spans="1:9" x14ac:dyDescent="0.3">
      <c r="B10" s="32" t="s">
        <v>39</v>
      </c>
      <c r="C10" s="53">
        <f>'Historical Data'!G12</f>
        <v>1229</v>
      </c>
      <c r="D10" s="53">
        <f>'Dep &amp; Capex Schedule'!D14</f>
        <v>1436.8413333600001</v>
      </c>
      <c r="E10" s="53">
        <f>'Dep &amp; Capex Schedule'!E14</f>
        <v>1502.7266113782457</v>
      </c>
      <c r="F10" s="53">
        <f>'Dep &amp; Capex Schedule'!F14</f>
        <v>1558.4043852109123</v>
      </c>
      <c r="G10" s="53">
        <f>'Dep &amp; Capex Schedule'!G14</f>
        <v>1615.8882201058564</v>
      </c>
      <c r="H10" s="53">
        <f>'Dep &amp; Capex Schedule'!H14</f>
        <v>1688.6491065926671</v>
      </c>
      <c r="I10" s="7" t="s">
        <v>235</v>
      </c>
    </row>
    <row r="11" spans="1:9" x14ac:dyDescent="0.3">
      <c r="B11" s="32" t="s">
        <v>38</v>
      </c>
      <c r="C11" s="53">
        <f>'Historical Data'!G11</f>
        <v>195</v>
      </c>
      <c r="D11" s="53">
        <f>'Debt Schedule'!D18</f>
        <v>255.38500000000002</v>
      </c>
      <c r="E11" s="53">
        <f>'Debt Schedule'!E18</f>
        <v>255.38500000000002</v>
      </c>
      <c r="F11" s="53">
        <f>'Debt Schedule'!F18</f>
        <v>255.38500000000002</v>
      </c>
      <c r="G11" s="53">
        <f>'Debt Schedule'!G18</f>
        <v>255.38500000000002</v>
      </c>
      <c r="H11" s="53">
        <f>'Debt Schedule'!H18</f>
        <v>255.38500000000002</v>
      </c>
      <c r="I11" s="7" t="s">
        <v>236</v>
      </c>
    </row>
    <row r="12" spans="1:9" x14ac:dyDescent="0.3">
      <c r="B12" s="83" t="s">
        <v>40</v>
      </c>
      <c r="C12" s="76">
        <f t="shared" ref="C12:H12" si="2">C7+C9-C10-C11</f>
        <v>6004</v>
      </c>
      <c r="D12" s="76">
        <f t="shared" si="2"/>
        <v>6456.5659437599998</v>
      </c>
      <c r="E12" s="76">
        <f t="shared" si="2"/>
        <v>7449.5350874519863</v>
      </c>
      <c r="F12" s="76">
        <f t="shared" si="2"/>
        <v>8527.3918865234809</v>
      </c>
      <c r="G12" s="76">
        <f t="shared" si="2"/>
        <v>9599.4600875435772</v>
      </c>
      <c r="H12" s="76">
        <f t="shared" si="2"/>
        <v>10778.813164844058</v>
      </c>
      <c r="I12" s="7" t="s">
        <v>237</v>
      </c>
    </row>
    <row r="13" spans="1:9" x14ac:dyDescent="0.3">
      <c r="B13" s="32" t="s">
        <v>165</v>
      </c>
      <c r="C13" s="43">
        <f>C12-C14</f>
        <v>1609</v>
      </c>
      <c r="D13" s="53">
        <f>D12*Assumptions!C20</f>
        <v>1710.9899750964</v>
      </c>
      <c r="E13" s="53">
        <f>E12*Assumptions!D20</f>
        <v>1974.1267981747765</v>
      </c>
      <c r="F13" s="53">
        <f>F12*Assumptions!E20</f>
        <v>2259.7588499287226</v>
      </c>
      <c r="G13" s="53">
        <f>G12*Assumptions!F20</f>
        <v>2543.8569231990482</v>
      </c>
      <c r="H13" s="53">
        <f>H12*Assumptions!G20</f>
        <v>2856.3854886836752</v>
      </c>
      <c r="I13" s="7" t="s">
        <v>238</v>
      </c>
    </row>
    <row r="14" spans="1:9" x14ac:dyDescent="0.3">
      <c r="B14" s="85" t="s">
        <v>166</v>
      </c>
      <c r="C14" s="86">
        <f>'Historical Data'!G15</f>
        <v>4395</v>
      </c>
      <c r="D14" s="81">
        <f>D12-D13</f>
        <v>4745.5759686635993</v>
      </c>
      <c r="E14" s="81">
        <f>E12-E13</f>
        <v>5475.4082892772094</v>
      </c>
      <c r="F14" s="81">
        <f>F12-F13</f>
        <v>6267.6330365947579</v>
      </c>
      <c r="G14" s="81">
        <f>G12-G13</f>
        <v>7055.6031643445294</v>
      </c>
      <c r="H14" s="81">
        <f>H12-H13</f>
        <v>7922.4276761603824</v>
      </c>
      <c r="I14" s="7" t="s">
        <v>164</v>
      </c>
    </row>
    <row r="15" spans="1:9" x14ac:dyDescent="0.3">
      <c r="B15" s="32" t="s">
        <v>167</v>
      </c>
      <c r="C15" s="33">
        <f t="shared" ref="C15:H15" si="3">C14/C4</f>
        <v>0.1235105665467626</v>
      </c>
      <c r="D15" s="33">
        <f t="shared" si="3"/>
        <v>0.11801715799965448</v>
      </c>
      <c r="E15" s="33">
        <f t="shared" si="3"/>
        <v>0.12264669819301491</v>
      </c>
      <c r="F15" s="33">
        <f t="shared" si="3"/>
        <v>0.12759880338688495</v>
      </c>
      <c r="G15" s="33">
        <f t="shared" si="3"/>
        <v>0.13116125461007327</v>
      </c>
      <c r="H15" s="33">
        <f t="shared" si="3"/>
        <v>0.13511147784858907</v>
      </c>
    </row>
    <row r="16" spans="1:9" x14ac:dyDescent="0.3">
      <c r="B16" s="32" t="s">
        <v>44</v>
      </c>
      <c r="C16" s="52">
        <f>'Historical Data'!G17</f>
        <v>45.09</v>
      </c>
      <c r="D16" s="52">
        <f>D14/Assumptions!$C$8</f>
        <v>49.474311599912419</v>
      </c>
      <c r="E16" s="52">
        <f>E14/Assumptions!$C$8</f>
        <v>57.08307224017107</v>
      </c>
      <c r="F16" s="52">
        <f>F14/Assumptions!$C$8</f>
        <v>65.34229604456587</v>
      </c>
      <c r="G16" s="52">
        <f>G14/Assumptions!$C$8</f>
        <v>73.557163931865404</v>
      </c>
      <c r="H16" s="52">
        <f>H14/Assumptions!$C$8</f>
        <v>82.594116723940601</v>
      </c>
      <c r="I16" s="7" t="s">
        <v>168</v>
      </c>
    </row>
    <row r="17" spans="2:9" x14ac:dyDescent="0.3">
      <c r="B17" s="32" t="s">
        <v>169</v>
      </c>
      <c r="C17" s="51">
        <f>C16*'Historical Data'!G18</f>
        <v>27.504900000000003</v>
      </c>
      <c r="D17" s="52">
        <f>D16*Assumptions!C26</f>
        <v>29.684586959947449</v>
      </c>
      <c r="E17" s="52">
        <f>E16*Assumptions!D26</f>
        <v>34.249843344102644</v>
      </c>
      <c r="F17" s="52">
        <f>F16*Assumptions!E26</f>
        <v>39.205377626739519</v>
      </c>
      <c r="G17" s="52">
        <f>G16*Assumptions!F26</f>
        <v>44.134298359119242</v>
      </c>
      <c r="H17" s="52">
        <f>H16*Assumptions!G26</f>
        <v>49.556470034364359</v>
      </c>
      <c r="I17" s="7" t="s">
        <v>170</v>
      </c>
    </row>
    <row r="19" spans="2:9" x14ac:dyDescent="0.3">
      <c r="B19" s="7" t="s">
        <v>171</v>
      </c>
    </row>
  </sheetData>
  <mergeCells count="2">
    <mergeCell ref="D1:H1"/>
    <mergeCell ref="A1:B1"/>
  </mergeCells>
  <pageMargins left="0.25" right="0.25" top="0.25" bottom="0.25" header="0.3" footer="0.3"/>
  <pageSetup scale="7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3D32-F881-4505-AF97-C6DF2B1F55F8}">
  <sheetPr>
    <pageSetUpPr fitToPage="1"/>
  </sheetPr>
  <dimension ref="A1:I24"/>
  <sheetViews>
    <sheetView zoomScale="110" zoomScaleNormal="110" workbookViewId="0">
      <pane ySplit="2" topLeftCell="A3" activePane="bottomLeft" state="frozenSplit"/>
      <selection pane="bottomLeft" activeCell="D28" sqref="D28"/>
    </sheetView>
  </sheetViews>
  <sheetFormatPr defaultRowHeight="14.4" x14ac:dyDescent="0.3"/>
  <cols>
    <col min="1" max="1" width="4.33203125" customWidth="1"/>
    <col min="2" max="2" width="38.77734375" customWidth="1"/>
    <col min="3" max="8" width="13.33203125" customWidth="1"/>
    <col min="9" max="9" width="50.77734375" customWidth="1"/>
  </cols>
  <sheetData>
    <row r="1" spans="1:9" ht="14.4" customHeight="1" x14ac:dyDescent="0.3">
      <c r="A1" s="123" t="s">
        <v>421</v>
      </c>
      <c r="B1" s="123"/>
      <c r="C1" s="99" t="s">
        <v>411</v>
      </c>
      <c r="D1" s="125" t="s">
        <v>410</v>
      </c>
      <c r="E1" s="126"/>
      <c r="F1" s="126"/>
      <c r="G1" s="126"/>
      <c r="H1" s="126"/>
      <c r="I1" s="95"/>
    </row>
    <row r="2" spans="1:9" x14ac:dyDescent="0.3">
      <c r="A2" s="95"/>
      <c r="B2" s="100" t="s">
        <v>408</v>
      </c>
      <c r="C2" s="101" t="s">
        <v>157</v>
      </c>
      <c r="D2" s="101" t="s">
        <v>116</v>
      </c>
      <c r="E2" s="101" t="s">
        <v>117</v>
      </c>
      <c r="F2" s="101" t="s">
        <v>118</v>
      </c>
      <c r="G2" s="101" t="s">
        <v>119</v>
      </c>
      <c r="H2" s="101" t="s">
        <v>120</v>
      </c>
      <c r="I2" s="95"/>
    </row>
    <row r="3" spans="1:9" s="105" customFormat="1" x14ac:dyDescent="0.3">
      <c r="B3" s="103"/>
      <c r="C3" s="104"/>
      <c r="D3" s="104"/>
      <c r="E3" s="104"/>
      <c r="F3" s="104"/>
      <c r="G3" s="104"/>
      <c r="H3" s="104"/>
    </row>
    <row r="4" spans="1:9" x14ac:dyDescent="0.3">
      <c r="B4" s="102" t="s">
        <v>172</v>
      </c>
    </row>
    <row r="5" spans="1:9" x14ac:dyDescent="0.3">
      <c r="B5" s="50"/>
      <c r="C5" s="46"/>
      <c r="D5" s="46"/>
      <c r="E5" s="46"/>
      <c r="F5" s="46"/>
      <c r="G5" s="46"/>
      <c r="H5" s="46"/>
      <c r="I5" s="13" t="s">
        <v>158</v>
      </c>
    </row>
    <row r="6" spans="1:9" x14ac:dyDescent="0.3">
      <c r="B6" s="32" t="s">
        <v>173</v>
      </c>
      <c r="C6" s="53">
        <f>'Historical Data'!G29+'Historical Data'!G30</f>
        <v>11489</v>
      </c>
      <c r="D6" s="53">
        <f>'Dep &amp; Capex Schedule'!D15</f>
        <v>12062.703594639999</v>
      </c>
      <c r="E6" s="53">
        <f>'Dep &amp; Capex Schedule'!E15</f>
        <v>12568.945644038202</v>
      </c>
      <c r="F6" s="53">
        <f>'Dep &amp; Capex Schedule'!F15</f>
        <v>12975.334930940666</v>
      </c>
      <c r="G6" s="53">
        <f>'Dep &amp; Capex Schedule'!G15</f>
        <v>13511.180676881411</v>
      </c>
      <c r="H6" s="53">
        <f>'Dep &amp; Capex Schedule'!H15</f>
        <v>14167.980765963606</v>
      </c>
      <c r="I6" s="7" t="s">
        <v>174</v>
      </c>
    </row>
    <row r="7" spans="1:9" x14ac:dyDescent="0.3">
      <c r="B7" s="32" t="s">
        <v>56</v>
      </c>
      <c r="C7" s="53">
        <f>'Historical Data'!G31</f>
        <v>7062</v>
      </c>
      <c r="D7" s="43">
        <f>C7</f>
        <v>7062</v>
      </c>
      <c r="E7" s="43">
        <f>C7</f>
        <v>7062</v>
      </c>
      <c r="F7" s="43">
        <f>C7</f>
        <v>7062</v>
      </c>
      <c r="G7" s="43">
        <f>C7</f>
        <v>7062</v>
      </c>
      <c r="H7" s="43">
        <f>C7</f>
        <v>7062</v>
      </c>
      <c r="I7" s="7" t="s">
        <v>175</v>
      </c>
    </row>
    <row r="8" spans="1:9" x14ac:dyDescent="0.3">
      <c r="B8" s="32" t="s">
        <v>74</v>
      </c>
      <c r="C8" s="53">
        <f>'Historical Data'!E55</f>
        <v>5743.7</v>
      </c>
      <c r="D8" s="53">
        <f>'Working Capital Schedule'!D15</f>
        <v>6488.3865249034516</v>
      </c>
      <c r="E8" s="53">
        <f>'Working Capital Schedule'!E15</f>
        <v>7068.8788298882228</v>
      </c>
      <c r="F8" s="53">
        <f>'Working Capital Schedule'!F15</f>
        <v>7630.3973430704373</v>
      </c>
      <c r="G8" s="53">
        <f>'Working Capital Schedule'!G15</f>
        <v>8216.676169522616</v>
      </c>
      <c r="H8" s="53">
        <f>'Working Capital Schedule'!H15</f>
        <v>8793.8280117289032</v>
      </c>
      <c r="I8" s="7" t="s">
        <v>176</v>
      </c>
    </row>
    <row r="9" spans="1:9" x14ac:dyDescent="0.3">
      <c r="B9" s="32" t="s">
        <v>177</v>
      </c>
      <c r="C9" s="53">
        <f>'Historical Data'!E56</f>
        <v>4467.2</v>
      </c>
      <c r="D9" s="53">
        <f>'Working Capital Schedule'!D14</f>
        <v>5067.6748870136989</v>
      </c>
      <c r="E9" s="53">
        <f>'Working Capital Schedule'!E14</f>
        <v>5626.3353665580898</v>
      </c>
      <c r="F9" s="53">
        <f>'Working Capital Schedule'!F14</f>
        <v>6190.4458162476221</v>
      </c>
      <c r="G9" s="53">
        <f>'Working Capital Schedule'!G14</f>
        <v>6779.435783434501</v>
      </c>
      <c r="H9" s="53">
        <f>'Working Capital Schedule'!H14</f>
        <v>7389.7714384276505</v>
      </c>
      <c r="I9" s="7" t="s">
        <v>176</v>
      </c>
    </row>
    <row r="10" spans="1:9" x14ac:dyDescent="0.3">
      <c r="B10" s="32" t="s">
        <v>76</v>
      </c>
      <c r="C10" s="53">
        <f>'Historical Data'!E57</f>
        <v>1073.8</v>
      </c>
      <c r="D10" s="53">
        <f>'Cash Flow'!D28</f>
        <v>1693.0993460231364</v>
      </c>
      <c r="E10" s="53">
        <f>'Cash Flow'!E28</f>
        <v>2784.3463949938459</v>
      </c>
      <c r="F10" s="53">
        <f>'Cash Flow'!F28</f>
        <v>4306.6177229538971</v>
      </c>
      <c r="G10" s="53">
        <f>'Cash Flow'!G28</f>
        <v>5999.7033589650946</v>
      </c>
      <c r="H10" s="53">
        <f>'Cash Flow'!H28</f>
        <v>7917.4877899229677</v>
      </c>
      <c r="I10" s="7" t="s">
        <v>241</v>
      </c>
    </row>
    <row r="11" spans="1:9" x14ac:dyDescent="0.3">
      <c r="B11" s="32" t="s">
        <v>178</v>
      </c>
      <c r="C11" s="53">
        <f>'Historical Data'!G32-C8-C9-C10</f>
        <v>4683.2999999999993</v>
      </c>
      <c r="D11" s="53">
        <f>C11*(1+Assumptions!C14)</f>
        <v>5292.257790749999</v>
      </c>
      <c r="E11" s="53">
        <f>D11*(1+Assumptions!D14)</f>
        <v>5875.6762896022792</v>
      </c>
      <c r="F11" s="53">
        <f>E11*(1+Assumptions!E14)</f>
        <v>6464.7862835885289</v>
      </c>
      <c r="G11" s="53">
        <f>F11*(1+Assumptions!F14)</f>
        <v>7079.8783745405599</v>
      </c>
      <c r="H11" s="53">
        <f>G11*(1+Assumptions!G14)</f>
        <v>7717.2621249045096</v>
      </c>
      <c r="I11" s="7" t="s">
        <v>179</v>
      </c>
    </row>
    <row r="12" spans="1:9" x14ac:dyDescent="0.3">
      <c r="B12" s="85" t="s">
        <v>180</v>
      </c>
      <c r="C12" s="81">
        <f t="shared" ref="C12:H12" si="0">SUM(C6:C11)</f>
        <v>34519</v>
      </c>
      <c r="D12" s="81">
        <f t="shared" si="0"/>
        <v>37666.122143330285</v>
      </c>
      <c r="E12" s="81">
        <f t="shared" si="0"/>
        <v>40986.182525080643</v>
      </c>
      <c r="F12" s="81">
        <f t="shared" si="0"/>
        <v>44629.582096801154</v>
      </c>
      <c r="G12" s="81">
        <f t="shared" si="0"/>
        <v>48648.874363344185</v>
      </c>
      <c r="H12" s="81">
        <f t="shared" si="0"/>
        <v>53048.330130947637</v>
      </c>
      <c r="I12" s="7" t="s">
        <v>425</v>
      </c>
    </row>
    <row r="14" spans="1:9" x14ac:dyDescent="0.3">
      <c r="B14" s="102" t="s">
        <v>181</v>
      </c>
    </row>
    <row r="15" spans="1:9" x14ac:dyDescent="0.3">
      <c r="B15" s="50"/>
      <c r="C15" s="46"/>
      <c r="D15" s="46"/>
      <c r="E15" s="46"/>
      <c r="F15" s="46"/>
      <c r="G15" s="46"/>
      <c r="H15" s="46"/>
      <c r="I15" s="13" t="s">
        <v>158</v>
      </c>
    </row>
    <row r="16" spans="1:9" x14ac:dyDescent="0.3">
      <c r="B16" s="32" t="s">
        <v>48</v>
      </c>
      <c r="C16" s="53">
        <f>'Historical Data'!G23</f>
        <v>96</v>
      </c>
      <c r="D16" s="43">
        <f>C16</f>
        <v>96</v>
      </c>
      <c r="E16" s="43">
        <f>C16</f>
        <v>96</v>
      </c>
      <c r="F16" s="43">
        <f>C16</f>
        <v>96</v>
      </c>
      <c r="G16" s="43">
        <f>C16</f>
        <v>96</v>
      </c>
      <c r="H16" s="43">
        <f>C16</f>
        <v>96</v>
      </c>
      <c r="I16" s="7" t="s">
        <v>182</v>
      </c>
    </row>
    <row r="17" spans="2:9" x14ac:dyDescent="0.3">
      <c r="B17" s="32" t="s">
        <v>49</v>
      </c>
      <c r="C17" s="53">
        <f>'Historical Data'!G24</f>
        <v>21276</v>
      </c>
      <c r="D17" s="53">
        <f>C17+'Income Statement'!D14*(1-Assumptions!C26)</f>
        <v>23174.230387465439</v>
      </c>
      <c r="E17" s="53">
        <f>D17+'Income Statement'!E14*(1-Assumptions!D26)</f>
        <v>25364.393703176323</v>
      </c>
      <c r="F17" s="53">
        <f>E17+'Income Statement'!F14*(1-Assumptions!E26)</f>
        <v>27871.446917814228</v>
      </c>
      <c r="G17" s="53">
        <f>F17+'Income Statement'!G14*(1-Assumptions!F26)</f>
        <v>30693.68818355204</v>
      </c>
      <c r="H17" s="53">
        <f>G17+'Income Statement'!H14*(1-Assumptions!G26)</f>
        <v>33862.659254016195</v>
      </c>
      <c r="I17" s="7" t="s">
        <v>242</v>
      </c>
    </row>
    <row r="18" spans="2:9" x14ac:dyDescent="0.3">
      <c r="B18" s="83" t="s">
        <v>183</v>
      </c>
      <c r="C18" s="76">
        <f t="shared" ref="C18:H18" si="1">C16+C17</f>
        <v>21372</v>
      </c>
      <c r="D18" s="76">
        <f t="shared" si="1"/>
        <v>23270.230387465439</v>
      </c>
      <c r="E18" s="76">
        <f t="shared" si="1"/>
        <v>25460.393703176323</v>
      </c>
      <c r="F18" s="76">
        <f t="shared" si="1"/>
        <v>27967.446917814228</v>
      </c>
      <c r="G18" s="76">
        <f t="shared" si="1"/>
        <v>30789.68818355204</v>
      </c>
      <c r="H18" s="76">
        <f t="shared" si="1"/>
        <v>33958.659254016195</v>
      </c>
    </row>
    <row r="19" spans="2:9" x14ac:dyDescent="0.3">
      <c r="B19" s="32" t="s">
        <v>257</v>
      </c>
      <c r="C19" s="53">
        <f>'Historical Data'!E61</f>
        <v>2293.4</v>
      </c>
      <c r="D19" s="53">
        <f>'Debt Schedule'!D8</f>
        <v>2293.4</v>
      </c>
      <c r="E19" s="53">
        <f>'Debt Schedule'!E8</f>
        <v>2293.4</v>
      </c>
      <c r="F19" s="53">
        <f>'Debt Schedule'!F8</f>
        <v>2293.4</v>
      </c>
      <c r="G19" s="53">
        <f>'Debt Schedule'!G8</f>
        <v>2293.4</v>
      </c>
      <c r="H19" s="53">
        <f>'Debt Schedule'!H8</f>
        <v>2293.4</v>
      </c>
      <c r="I19" s="7" t="s">
        <v>258</v>
      </c>
    </row>
    <row r="20" spans="2:9" x14ac:dyDescent="0.3">
      <c r="B20" s="32" t="s">
        <v>259</v>
      </c>
      <c r="C20" s="53">
        <f>'Historical Data'!E62</f>
        <v>1635.6</v>
      </c>
      <c r="D20" s="53">
        <f>'Debt Schedule'!D11</f>
        <v>1635.6</v>
      </c>
      <c r="E20" s="53">
        <f>'Debt Schedule'!E11</f>
        <v>1635.6</v>
      </c>
      <c r="F20" s="53">
        <f>'Debt Schedule'!F11</f>
        <v>1635.6</v>
      </c>
      <c r="G20" s="53">
        <f>'Debt Schedule'!G11</f>
        <v>1635.6</v>
      </c>
      <c r="H20" s="53">
        <f>'Debt Schedule'!H11</f>
        <v>1635.6</v>
      </c>
      <c r="I20" s="7" t="s">
        <v>260</v>
      </c>
    </row>
    <row r="21" spans="2:9" x14ac:dyDescent="0.3">
      <c r="B21" s="32" t="s">
        <v>184</v>
      </c>
      <c r="C21" s="53">
        <f>'Historical Data'!E59</f>
        <v>3863.1</v>
      </c>
      <c r="D21" s="53">
        <f>'Working Capital Schedule'!D16</f>
        <v>4415.7074961148492</v>
      </c>
      <c r="E21" s="53">
        <f>'Working Capital Schedule'!E16</f>
        <v>4878.5220093594771</v>
      </c>
      <c r="F21" s="53">
        <f>'Working Capital Schedule'!F16</f>
        <v>5341.2781401493066</v>
      </c>
      <c r="G21" s="53">
        <f>'Working Capital Schedule'!G16</f>
        <v>5835.030902994321</v>
      </c>
      <c r="H21" s="53">
        <f>'Working Capital Schedule'!H16</f>
        <v>6336.7290084517099</v>
      </c>
      <c r="I21" s="7" t="s">
        <v>176</v>
      </c>
    </row>
    <row r="22" spans="2:9" x14ac:dyDescent="0.3">
      <c r="B22" s="32" t="s">
        <v>185</v>
      </c>
      <c r="C22" s="53">
        <f>'Historical Data'!G27-C21</f>
        <v>5354.9</v>
      </c>
      <c r="D22" s="53">
        <f>C22*(1+Assumptions!C14)</f>
        <v>6051.184259749999</v>
      </c>
      <c r="E22" s="53">
        <f>D22*(1+Assumptions!D14)</f>
        <v>6718.2668125448399</v>
      </c>
      <c r="F22" s="53">
        <f>E22*(1+Assumptions!E14)</f>
        <v>7391.8570388376183</v>
      </c>
      <c r="G22" s="53">
        <f>F22*(1+Assumptions!F14)</f>
        <v>8095.1552767978237</v>
      </c>
      <c r="H22" s="53">
        <f>G22*(1+Assumptions!G14)</f>
        <v>8823.9418684797383</v>
      </c>
      <c r="I22" s="7" t="s">
        <v>179</v>
      </c>
    </row>
    <row r="23" spans="2:9" x14ac:dyDescent="0.3">
      <c r="B23" s="85" t="s">
        <v>186</v>
      </c>
      <c r="C23" s="81">
        <f t="shared" ref="C23:H23" si="2">C18+C19+C20+C21+C22</f>
        <v>34519</v>
      </c>
      <c r="D23" s="81">
        <f t="shared" si="2"/>
        <v>37666.122143330285</v>
      </c>
      <c r="E23" s="81">
        <f t="shared" si="2"/>
        <v>40986.182525080643</v>
      </c>
      <c r="F23" s="81">
        <f t="shared" si="2"/>
        <v>44629.582096801154</v>
      </c>
      <c r="G23" s="81">
        <f t="shared" si="2"/>
        <v>48648.874363344185</v>
      </c>
      <c r="H23" s="81">
        <f t="shared" si="2"/>
        <v>53048.330130947637</v>
      </c>
    </row>
    <row r="24" spans="2:9" ht="34.200000000000003" x14ac:dyDescent="0.3">
      <c r="B24" s="56" t="s">
        <v>59</v>
      </c>
      <c r="C24" s="57">
        <f t="shared" ref="C24:H24" si="3">C23-C12</f>
        <v>0</v>
      </c>
      <c r="D24" s="57">
        <f t="shared" si="3"/>
        <v>0</v>
      </c>
      <c r="E24" s="57">
        <f t="shared" si="3"/>
        <v>0</v>
      </c>
      <c r="F24" s="57">
        <f t="shared" si="3"/>
        <v>0</v>
      </c>
      <c r="G24" s="57">
        <f t="shared" si="3"/>
        <v>0</v>
      </c>
      <c r="H24" s="57">
        <f t="shared" si="3"/>
        <v>0</v>
      </c>
      <c r="I24" s="111" t="s">
        <v>468</v>
      </c>
    </row>
  </sheetData>
  <mergeCells count="2">
    <mergeCell ref="D1:H1"/>
    <mergeCell ref="A1:B1"/>
  </mergeCells>
  <pageMargins left="0.25" right="0.25" top="0.25" bottom="0.25" header="0.3" footer="0.3"/>
  <pageSetup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15AA-BF44-4A7F-A07F-FDFC0ADA2A40}">
  <sheetPr>
    <pageSetUpPr fitToPage="1"/>
  </sheetPr>
  <dimension ref="A1:I31"/>
  <sheetViews>
    <sheetView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33203125" customWidth="1"/>
    <col min="2" max="2" width="40.77734375" customWidth="1"/>
    <col min="3" max="8" width="13.33203125" customWidth="1"/>
    <col min="9" max="9" width="52.77734375" customWidth="1"/>
  </cols>
  <sheetData>
    <row r="1" spans="1:9" ht="14.4" customHeight="1" x14ac:dyDescent="0.3">
      <c r="A1" s="123" t="s">
        <v>422</v>
      </c>
      <c r="B1" s="123"/>
      <c r="C1" s="99" t="s">
        <v>411</v>
      </c>
      <c r="D1" s="125" t="s">
        <v>410</v>
      </c>
      <c r="E1" s="126"/>
      <c r="F1" s="126"/>
      <c r="G1" s="126"/>
      <c r="H1" s="126"/>
      <c r="I1" s="95"/>
    </row>
    <row r="2" spans="1:9" x14ac:dyDescent="0.3">
      <c r="A2" s="95"/>
      <c r="B2" s="100" t="s">
        <v>408</v>
      </c>
      <c r="C2" s="101" t="s">
        <v>157</v>
      </c>
      <c r="D2" s="101" t="s">
        <v>116</v>
      </c>
      <c r="E2" s="101" t="s">
        <v>117</v>
      </c>
      <c r="F2" s="101" t="s">
        <v>118</v>
      </c>
      <c r="G2" s="101" t="s">
        <v>119</v>
      </c>
      <c r="H2" s="101" t="s">
        <v>120</v>
      </c>
      <c r="I2" s="95"/>
    </row>
    <row r="3" spans="1:9" s="105" customFormat="1" x14ac:dyDescent="0.3">
      <c r="B3" s="103"/>
      <c r="C3" s="104"/>
      <c r="D3" s="104"/>
      <c r="E3" s="104"/>
      <c r="F3" s="104"/>
      <c r="G3" s="104"/>
      <c r="H3" s="104"/>
    </row>
    <row r="4" spans="1:9" x14ac:dyDescent="0.3">
      <c r="B4" s="102" t="s">
        <v>187</v>
      </c>
    </row>
    <row r="5" spans="1:9" x14ac:dyDescent="0.3">
      <c r="B5" s="50"/>
      <c r="C5" s="46"/>
      <c r="D5" s="46"/>
      <c r="E5" s="46"/>
      <c r="F5" s="46"/>
      <c r="G5" s="46"/>
      <c r="H5" s="46"/>
      <c r="I5" s="13" t="s">
        <v>158</v>
      </c>
    </row>
    <row r="6" spans="1:9" x14ac:dyDescent="0.3">
      <c r="B6" s="32" t="s">
        <v>166</v>
      </c>
      <c r="C6" s="53">
        <f>'Historical Data'!G15</f>
        <v>4395</v>
      </c>
      <c r="D6" s="53">
        <f>'Income Statement'!D14</f>
        <v>4745.5759686635993</v>
      </c>
      <c r="E6" s="53">
        <f>'Income Statement'!E14</f>
        <v>5475.4082892772094</v>
      </c>
      <c r="F6" s="53">
        <f>'Income Statement'!F14</f>
        <v>6267.6330365947579</v>
      </c>
      <c r="G6" s="53">
        <f>'Income Statement'!G14</f>
        <v>7055.6031643445294</v>
      </c>
      <c r="H6" s="53">
        <f>'Income Statement'!H14</f>
        <v>7922.4276761603824</v>
      </c>
      <c r="I6" s="7" t="s">
        <v>188</v>
      </c>
    </row>
    <row r="7" spans="1:9" x14ac:dyDescent="0.3">
      <c r="B7" s="32" t="s">
        <v>189</v>
      </c>
      <c r="C7" s="53">
        <f>'Historical Data'!G12</f>
        <v>1229</v>
      </c>
      <c r="D7" s="53">
        <f>'Dep &amp; Capex Schedule'!D14</f>
        <v>1436.8413333600001</v>
      </c>
      <c r="E7" s="53">
        <f>'Dep &amp; Capex Schedule'!E14</f>
        <v>1502.7266113782457</v>
      </c>
      <c r="F7" s="53">
        <f>'Dep &amp; Capex Schedule'!F14</f>
        <v>1558.4043852109123</v>
      </c>
      <c r="G7" s="53">
        <f>'Dep &amp; Capex Schedule'!G14</f>
        <v>1615.8882201058564</v>
      </c>
      <c r="H7" s="53">
        <f>'Dep &amp; Capex Schedule'!H14</f>
        <v>1688.6491065926671</v>
      </c>
      <c r="I7" s="7" t="s">
        <v>174</v>
      </c>
    </row>
    <row r="8" spans="1:9" x14ac:dyDescent="0.3">
      <c r="B8" s="32" t="s">
        <v>190</v>
      </c>
      <c r="D8" s="53">
        <f>'Working Capital Schedule'!D18</f>
        <v>-792.55391580230298</v>
      </c>
      <c r="E8" s="53">
        <f>'Working Capital Schedule'!E18</f>
        <v>-676.33827128453231</v>
      </c>
      <c r="F8" s="53">
        <f>'Working Capital Schedule'!F18</f>
        <v>-662.8728320819182</v>
      </c>
      <c r="G8" s="53">
        <f>'Working Capital Schedule'!G18</f>
        <v>-681.51603079404231</v>
      </c>
      <c r="H8" s="53">
        <f>'Working Capital Schedule'!H18</f>
        <v>-685.7893917420497</v>
      </c>
      <c r="I8" s="7" t="s">
        <v>176</v>
      </c>
    </row>
    <row r="9" spans="1:9" x14ac:dyDescent="0.3">
      <c r="B9" s="32" t="s">
        <v>191</v>
      </c>
      <c r="C9" s="43">
        <f>'Historical Data'!G38-C6-C7</f>
        <v>1464</v>
      </c>
      <c r="D9" s="53">
        <f>('Balance Sheet'!D22-'Balance Sheet'!C22)-('Balance Sheet'!D11-'Balance Sheet'!C11)</f>
        <v>87.326468999999634</v>
      </c>
      <c r="E9" s="53">
        <f>('Balance Sheet'!E22-'Balance Sheet'!D22)-('Balance Sheet'!E11-'Balance Sheet'!D11)</f>
        <v>83.664053942560713</v>
      </c>
      <c r="F9" s="53">
        <f>('Balance Sheet'!F22-'Balance Sheet'!E22)-('Balance Sheet'!F11-'Balance Sheet'!E11)</f>
        <v>84.480232306528706</v>
      </c>
      <c r="G9" s="53">
        <f>('Balance Sheet'!G22-'Balance Sheet'!F22)-('Balance Sheet'!G11-'Balance Sheet'!F11)</f>
        <v>88.206147008174412</v>
      </c>
      <c r="H9" s="53">
        <f>('Balance Sheet'!H22-'Balance Sheet'!G22)-('Balance Sheet'!H11-'Balance Sheet'!G11)</f>
        <v>91.402841317964885</v>
      </c>
      <c r="I9" s="7" t="s">
        <v>239</v>
      </c>
    </row>
    <row r="10" spans="1:9" ht="45.6" x14ac:dyDescent="0.3">
      <c r="B10" s="83" t="s">
        <v>61</v>
      </c>
      <c r="C10" s="84">
        <f>'Historical Data'!G38</f>
        <v>7088</v>
      </c>
      <c r="D10" s="76">
        <f>SUM(D6:D9)</f>
        <v>5477.1898552212961</v>
      </c>
      <c r="E10" s="76">
        <f>SUM(E6:E9)</f>
        <v>6385.460683313484</v>
      </c>
      <c r="F10" s="76">
        <f>SUM(F6:F9)</f>
        <v>7247.6448220302809</v>
      </c>
      <c r="G10" s="76">
        <f>SUM(G6:G9)</f>
        <v>8078.1815006645184</v>
      </c>
      <c r="H10" s="76">
        <f>SUM(H6:H9)</f>
        <v>9016.6902323289651</v>
      </c>
      <c r="I10" s="111" t="s">
        <v>469</v>
      </c>
    </row>
    <row r="12" spans="1:9" x14ac:dyDescent="0.3">
      <c r="B12" s="102" t="s">
        <v>192</v>
      </c>
    </row>
    <row r="13" spans="1:9" x14ac:dyDescent="0.3">
      <c r="B13" s="50"/>
      <c r="C13" s="46"/>
      <c r="D13" s="46"/>
      <c r="E13" s="46"/>
      <c r="F13" s="46"/>
      <c r="G13" s="46"/>
      <c r="H13" s="46"/>
      <c r="I13" s="13" t="s">
        <v>158</v>
      </c>
    </row>
    <row r="14" spans="1:9" x14ac:dyDescent="0.3">
      <c r="B14" s="32" t="s">
        <v>193</v>
      </c>
      <c r="C14" s="53">
        <f>-('Historical Data'!G38-'Historical Data'!G42)</f>
        <v>-1484</v>
      </c>
      <c r="D14" s="53">
        <f>-'Income Statement'!D4*Assumptions!C19</f>
        <v>-2010.5449280000003</v>
      </c>
      <c r="E14" s="53">
        <f>-'Income Statement'!E4*Assumptions!D19</f>
        <v>-2008.9686607764484</v>
      </c>
      <c r="F14" s="53">
        <f>-'Income Statement'!F4*Assumptions!E19</f>
        <v>-1964.7936721133756</v>
      </c>
      <c r="G14" s="53">
        <f>-'Income Statement'!G4*Assumptions!F19</f>
        <v>-2151.7339660466027</v>
      </c>
      <c r="H14" s="53">
        <f>-'Income Statement'!H4*Assumptions!G19</f>
        <v>-2345.4491956748629</v>
      </c>
      <c r="I14" s="7" t="s">
        <v>439</v>
      </c>
    </row>
    <row r="15" spans="1:9" x14ac:dyDescent="0.3">
      <c r="B15" s="32" t="s">
        <v>194</v>
      </c>
      <c r="C15" s="43">
        <f>'Historical Data'!G39-C14</f>
        <v>156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7" t="s">
        <v>195</v>
      </c>
    </row>
    <row r="16" spans="1:9" x14ac:dyDescent="0.3">
      <c r="B16" s="83" t="s">
        <v>62</v>
      </c>
      <c r="C16" s="84">
        <f>'Historical Data'!G39</f>
        <v>-1328</v>
      </c>
      <c r="D16" s="76">
        <f>D14+D15</f>
        <v>-2010.5449280000003</v>
      </c>
      <c r="E16" s="76">
        <f>E14+E15</f>
        <v>-2008.9686607764484</v>
      </c>
      <c r="F16" s="76">
        <f>F14+F15</f>
        <v>-1964.7936721133756</v>
      </c>
      <c r="G16" s="76">
        <f>G14+G15</f>
        <v>-2151.7339660466027</v>
      </c>
      <c r="H16" s="76">
        <f>H14+H15</f>
        <v>-2345.4491956748629</v>
      </c>
    </row>
    <row r="18" spans="2:9" x14ac:dyDescent="0.3">
      <c r="B18" s="102" t="s">
        <v>196</v>
      </c>
    </row>
    <row r="19" spans="2:9" x14ac:dyDescent="0.3">
      <c r="B19" s="50"/>
      <c r="C19" s="46"/>
      <c r="D19" s="46"/>
      <c r="E19" s="46"/>
      <c r="F19" s="46"/>
      <c r="G19" s="46"/>
      <c r="H19" s="46"/>
      <c r="I19" s="13" t="s">
        <v>158</v>
      </c>
    </row>
    <row r="20" spans="2:9" x14ac:dyDescent="0.3">
      <c r="B20" s="32" t="s">
        <v>197</v>
      </c>
      <c r="C20" s="53">
        <f>'Historical Data'!G26-'Historical Data'!F26</f>
        <v>1639</v>
      </c>
      <c r="D20" s="53">
        <f>Assumptions!C25</f>
        <v>0</v>
      </c>
      <c r="E20" s="53">
        <f>Assumptions!D25</f>
        <v>0</v>
      </c>
      <c r="F20" s="53">
        <f>Assumptions!E25</f>
        <v>0</v>
      </c>
      <c r="G20" s="53">
        <f>Assumptions!F25</f>
        <v>0</v>
      </c>
      <c r="H20" s="53">
        <f>Assumptions!G25</f>
        <v>0</v>
      </c>
      <c r="I20" s="7" t="s">
        <v>198</v>
      </c>
    </row>
    <row r="21" spans="2:9" x14ac:dyDescent="0.3">
      <c r="B21" s="32" t="s">
        <v>199</v>
      </c>
      <c r="C21" s="43">
        <f>'Historical Data'!G40-C20</f>
        <v>-4016</v>
      </c>
      <c r="D21" s="53">
        <f>-'Income Statement'!D14*Assumptions!C26</f>
        <v>-2847.3455811981594</v>
      </c>
      <c r="E21" s="53">
        <f>-'Income Statement'!E14*Assumptions!D26</f>
        <v>-3285.2449735663254</v>
      </c>
      <c r="F21" s="53">
        <f>-'Income Statement'!F14*Assumptions!E26</f>
        <v>-3760.5798219568546</v>
      </c>
      <c r="G21" s="53">
        <f>-'Income Statement'!G14*Assumptions!F26</f>
        <v>-4233.3618986067177</v>
      </c>
      <c r="H21" s="53">
        <f>-'Income Statement'!H14*Assumptions!G26</f>
        <v>-4753.4566056962294</v>
      </c>
      <c r="I21" s="7" t="s">
        <v>240</v>
      </c>
    </row>
    <row r="22" spans="2:9" x14ac:dyDescent="0.3">
      <c r="B22" s="83" t="s">
        <v>63</v>
      </c>
      <c r="C22" s="84">
        <f>'Historical Data'!G40</f>
        <v>-2377</v>
      </c>
      <c r="D22" s="76">
        <f>D20+D21</f>
        <v>-2847.3455811981594</v>
      </c>
      <c r="E22" s="76">
        <f>E20+E21</f>
        <v>-3285.2449735663254</v>
      </c>
      <c r="F22" s="76">
        <f>F20+F21</f>
        <v>-3760.5798219568546</v>
      </c>
      <c r="G22" s="76">
        <f>G20+G21</f>
        <v>-4233.3618986067177</v>
      </c>
      <c r="H22" s="76">
        <f>H20+H21</f>
        <v>-4753.4566056962294</v>
      </c>
      <c r="I22" s="7" t="s">
        <v>200</v>
      </c>
    </row>
    <row r="24" spans="2:9" x14ac:dyDescent="0.3">
      <c r="B24" s="102" t="s">
        <v>426</v>
      </c>
    </row>
    <row r="25" spans="2:9" x14ac:dyDescent="0.3">
      <c r="B25" s="50"/>
      <c r="C25" s="46"/>
      <c r="D25" s="46"/>
      <c r="E25" s="46"/>
      <c r="F25" s="46"/>
      <c r="G25" s="46"/>
      <c r="H25" s="46"/>
      <c r="I25" s="13" t="s">
        <v>158</v>
      </c>
    </row>
    <row r="26" spans="2:9" x14ac:dyDescent="0.3">
      <c r="B26" s="85" t="s">
        <v>64</v>
      </c>
      <c r="C26" s="86">
        <f>'Historical Data'!G41</f>
        <v>3383</v>
      </c>
      <c r="D26" s="81">
        <f>D10+D16+D22</f>
        <v>619.29934602313642</v>
      </c>
      <c r="E26" s="81">
        <f>E10+E16+E22</f>
        <v>1091.2470489707098</v>
      </c>
      <c r="F26" s="81">
        <f>F10+F16+F22</f>
        <v>1522.2713279600507</v>
      </c>
      <c r="G26" s="81">
        <f>G10+G16+G22</f>
        <v>1693.0856360111975</v>
      </c>
      <c r="H26" s="81">
        <f>H10+H16+H22</f>
        <v>1917.7844309578732</v>
      </c>
      <c r="I26" s="7" t="s">
        <v>201</v>
      </c>
    </row>
    <row r="27" spans="2:9" x14ac:dyDescent="0.3">
      <c r="B27" s="32" t="s">
        <v>202</v>
      </c>
      <c r="D27" s="53">
        <f>'Balance Sheet'!C10</f>
        <v>1073.8</v>
      </c>
      <c r="E27" s="43">
        <f>D28</f>
        <v>1693.0993460231364</v>
      </c>
      <c r="F27" s="43">
        <f>E28</f>
        <v>2784.3463949938459</v>
      </c>
      <c r="G27" s="43">
        <f>F28</f>
        <v>4306.6177229538971</v>
      </c>
      <c r="H27" s="43">
        <f>G28</f>
        <v>5999.7033589650946</v>
      </c>
      <c r="I27" s="7" t="s">
        <v>203</v>
      </c>
    </row>
    <row r="28" spans="2:9" x14ac:dyDescent="0.3">
      <c r="B28" s="83" t="s">
        <v>204</v>
      </c>
      <c r="C28" s="87"/>
      <c r="D28" s="76">
        <f>D27+D26</f>
        <v>1693.0993460231364</v>
      </c>
      <c r="E28" s="76">
        <f>E27+E26</f>
        <v>2784.3463949938459</v>
      </c>
      <c r="F28" s="76">
        <f>F27+F26</f>
        <v>4306.6177229538971</v>
      </c>
      <c r="G28" s="76">
        <f>G27+G26</f>
        <v>5999.7033589650946</v>
      </c>
      <c r="H28" s="76">
        <f>H27+H26</f>
        <v>7917.4877899229677</v>
      </c>
      <c r="I28" s="7" t="s">
        <v>205</v>
      </c>
    </row>
    <row r="29" spans="2:9" x14ac:dyDescent="0.3">
      <c r="B29" s="32" t="s">
        <v>206</v>
      </c>
      <c r="C29" s="43">
        <f t="shared" ref="C29:H29" si="0">C10+C14</f>
        <v>5604</v>
      </c>
      <c r="D29" s="43">
        <f t="shared" si="0"/>
        <v>3466.6449272212958</v>
      </c>
      <c r="E29" s="43">
        <f t="shared" si="0"/>
        <v>4376.4920225370352</v>
      </c>
      <c r="F29" s="43">
        <f t="shared" si="0"/>
        <v>5282.8511499169053</v>
      </c>
      <c r="G29" s="43">
        <f t="shared" si="0"/>
        <v>5926.4475346179152</v>
      </c>
      <c r="H29" s="43">
        <f t="shared" si="0"/>
        <v>6671.2410366541026</v>
      </c>
      <c r="I29" s="7" t="s">
        <v>207</v>
      </c>
    </row>
    <row r="31" spans="2:9" x14ac:dyDescent="0.3">
      <c r="B31" s="7" t="s">
        <v>208</v>
      </c>
    </row>
  </sheetData>
  <mergeCells count="2">
    <mergeCell ref="D1:H1"/>
    <mergeCell ref="A1:B1"/>
  </mergeCells>
  <pageMargins left="0.25" right="0.25" top="0.25" bottom="0.25" header="0.3" footer="0.3"/>
  <pageSetup scale="5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8325-83A2-4E17-ABE6-43073277AC2F}">
  <sheetPr>
    <pageSetUpPr fitToPage="1"/>
  </sheetPr>
  <dimension ref="A1:I84"/>
  <sheetViews>
    <sheetView zoomScale="110" zoomScaleNormal="110" workbookViewId="0">
      <pane ySplit="2" topLeftCell="A39" activePane="bottomLeft" state="frozenSplit"/>
      <selection pane="bottomLeft" activeCell="E95" sqref="E95"/>
    </sheetView>
  </sheetViews>
  <sheetFormatPr defaultRowHeight="14.4" x14ac:dyDescent="0.3"/>
  <cols>
    <col min="1" max="1" width="4.33203125" customWidth="1"/>
    <col min="2" max="2" width="40.77734375" customWidth="1"/>
    <col min="3" max="3" width="15.21875" bestFit="1" customWidth="1"/>
    <col min="4" max="8" width="13.33203125" customWidth="1"/>
    <col min="9" max="9" width="66.77734375" customWidth="1"/>
  </cols>
  <sheetData>
    <row r="1" spans="1:9" ht="14.4" customHeight="1" x14ac:dyDescent="0.3">
      <c r="A1" s="123" t="s">
        <v>423</v>
      </c>
      <c r="B1" s="123"/>
      <c r="C1" s="95"/>
      <c r="D1" s="95"/>
      <c r="E1" s="95"/>
      <c r="F1" s="95"/>
      <c r="G1" s="95"/>
      <c r="H1" s="95"/>
      <c r="I1" s="95"/>
    </row>
    <row r="2" spans="1:9" x14ac:dyDescent="0.3">
      <c r="A2" s="95"/>
      <c r="B2" s="100" t="s">
        <v>408</v>
      </c>
      <c r="C2" s="95"/>
      <c r="D2" s="95"/>
      <c r="E2" s="95"/>
      <c r="F2" s="95"/>
      <c r="G2" s="95"/>
      <c r="H2" s="95"/>
      <c r="I2" s="95"/>
    </row>
    <row r="3" spans="1:9" s="105" customFormat="1" x14ac:dyDescent="0.3">
      <c r="B3" s="103"/>
    </row>
    <row r="4" spans="1:9" x14ac:dyDescent="0.3">
      <c r="B4" s="102" t="s">
        <v>291</v>
      </c>
      <c r="I4" s="70" t="s">
        <v>158</v>
      </c>
    </row>
    <row r="5" spans="1:9" x14ac:dyDescent="0.3">
      <c r="B5" s="32" t="s">
        <v>292</v>
      </c>
      <c r="C5" s="53">
        <f>Assumptions!C7*Assumptions!C8</f>
        <v>252077.76</v>
      </c>
      <c r="I5" s="7" t="s">
        <v>293</v>
      </c>
    </row>
    <row r="6" spans="1:9" x14ac:dyDescent="0.3">
      <c r="B6" s="32" t="s">
        <v>294</v>
      </c>
      <c r="C6" s="53">
        <f>'Balance Sheet'!C19+'Balance Sheet'!C20</f>
        <v>3929</v>
      </c>
      <c r="I6" s="7" t="s">
        <v>295</v>
      </c>
    </row>
    <row r="7" spans="1:9" x14ac:dyDescent="0.3">
      <c r="B7" s="32" t="s">
        <v>296</v>
      </c>
      <c r="C7" s="43">
        <f>C5+C6</f>
        <v>256006.76</v>
      </c>
    </row>
    <row r="8" spans="1:9" x14ac:dyDescent="0.3">
      <c r="B8" s="32" t="s">
        <v>297</v>
      </c>
      <c r="C8" s="33">
        <f>C5/C7</f>
        <v>0.98465274901334632</v>
      </c>
    </row>
    <row r="9" spans="1:9" x14ac:dyDescent="0.3">
      <c r="B9" s="32" t="s">
        <v>298</v>
      </c>
      <c r="C9" s="33">
        <f>C6/C7</f>
        <v>1.5347250986653634E-2</v>
      </c>
    </row>
    <row r="10" spans="1:9" x14ac:dyDescent="0.3">
      <c r="B10" s="32" t="s">
        <v>299</v>
      </c>
      <c r="C10" s="58">
        <f>Assumptions!C34</f>
        <v>0.11599999999999999</v>
      </c>
      <c r="I10" s="7" t="s">
        <v>300</v>
      </c>
    </row>
    <row r="11" spans="1:9" x14ac:dyDescent="0.3">
      <c r="B11" s="32" t="s">
        <v>301</v>
      </c>
      <c r="C11" s="59">
        <f>Assumptions!C35*(1-Assumptions!C20)</f>
        <v>5.5125E-2</v>
      </c>
      <c r="I11" s="7" t="s">
        <v>302</v>
      </c>
    </row>
    <row r="12" spans="1:9" x14ac:dyDescent="0.3">
      <c r="B12" s="83" t="s">
        <v>303</v>
      </c>
      <c r="C12" s="88">
        <f>C8*C10+C9*C11</f>
        <v>0.11506573609618745</v>
      </c>
      <c r="D12" s="87"/>
      <c r="E12" s="87"/>
      <c r="F12" s="87"/>
      <c r="G12" s="87"/>
      <c r="H12" s="87"/>
      <c r="I12" s="7" t="s">
        <v>304</v>
      </c>
    </row>
    <row r="14" spans="1:9" x14ac:dyDescent="0.3">
      <c r="B14" s="102" t="s">
        <v>305</v>
      </c>
    </row>
    <row r="15" spans="1:9" x14ac:dyDescent="0.3">
      <c r="C15" s="46" t="s">
        <v>116</v>
      </c>
      <c r="D15" s="46" t="s">
        <v>117</v>
      </c>
      <c r="E15" s="46" t="s">
        <v>118</v>
      </c>
      <c r="F15" s="46" t="s">
        <v>119</v>
      </c>
      <c r="G15" s="46" t="s">
        <v>120</v>
      </c>
      <c r="I15" s="13"/>
    </row>
    <row r="16" spans="1:9" x14ac:dyDescent="0.3">
      <c r="B16" s="32" t="s">
        <v>162</v>
      </c>
      <c r="C16" s="53">
        <f>'Income Statement'!D7</f>
        <v>7318.38353792</v>
      </c>
      <c r="D16" s="53">
        <f>'Income Statement'!E7</f>
        <v>8303.7371312093201</v>
      </c>
      <c r="E16" s="53">
        <f>'Income Statement'!F7</f>
        <v>9332.7699425385345</v>
      </c>
      <c r="F16" s="53">
        <f>'Income Statement'!G7</f>
        <v>10328.323037023692</v>
      </c>
      <c r="G16" s="53">
        <f>'Income Statement'!H7</f>
        <v>11434.064828914958</v>
      </c>
    </row>
    <row r="17" spans="2:9" x14ac:dyDescent="0.3">
      <c r="B17" s="32" t="s">
        <v>225</v>
      </c>
      <c r="C17" s="53">
        <f>-'Dep &amp; Capex Schedule'!D14</f>
        <v>-1436.8413333600001</v>
      </c>
      <c r="D17" s="53">
        <f>-'Dep &amp; Capex Schedule'!E14</f>
        <v>-1502.7266113782457</v>
      </c>
      <c r="E17" s="53">
        <f>-'Dep &amp; Capex Schedule'!F14</f>
        <v>-1558.4043852109123</v>
      </c>
      <c r="F17" s="53">
        <f>-'Dep &amp; Capex Schedule'!G14</f>
        <v>-1615.8882201058564</v>
      </c>
      <c r="G17" s="53">
        <f>-'Dep &amp; Capex Schedule'!H14</f>
        <v>-1688.6491065926671</v>
      </c>
    </row>
    <row r="18" spans="2:9" x14ac:dyDescent="0.3">
      <c r="B18" s="32" t="s">
        <v>306</v>
      </c>
      <c r="C18" s="43">
        <f>C16+C17</f>
        <v>5881.5422045599998</v>
      </c>
      <c r="D18" s="43">
        <f>D16+D17</f>
        <v>6801.0105198310739</v>
      </c>
      <c r="E18" s="43">
        <f>E16+E17</f>
        <v>7774.3655573276219</v>
      </c>
      <c r="F18" s="43">
        <f>F16+F17</f>
        <v>8712.4348169178356</v>
      </c>
      <c r="G18" s="43">
        <f>G16+G17</f>
        <v>9745.4157223222901</v>
      </c>
      <c r="I18" s="7" t="s">
        <v>307</v>
      </c>
    </row>
    <row r="19" spans="2:9" x14ac:dyDescent="0.3">
      <c r="B19" s="32" t="s">
        <v>308</v>
      </c>
      <c r="C19" s="53">
        <f>C18*(1-Assumptions!C20)</f>
        <v>4322.9335203516002</v>
      </c>
      <c r="D19" s="53">
        <f>D18*(1-Assumptions!D20)</f>
        <v>4998.7427320758388</v>
      </c>
      <c r="E19" s="53">
        <f>E18*(1-Assumptions!E20)</f>
        <v>5714.1586846358023</v>
      </c>
      <c r="F19" s="53">
        <f>F18*(1-Assumptions!F20)</f>
        <v>6403.6395904346091</v>
      </c>
      <c r="G19" s="53">
        <f>G18*(1-Assumptions!G20)</f>
        <v>7162.8805559068833</v>
      </c>
    </row>
    <row r="20" spans="2:9" x14ac:dyDescent="0.3">
      <c r="B20" s="32" t="s">
        <v>309</v>
      </c>
      <c r="C20" s="43">
        <f>-C17</f>
        <v>1436.8413333600001</v>
      </c>
      <c r="D20" s="43">
        <f>-D17</f>
        <v>1502.7266113782457</v>
      </c>
      <c r="E20" s="43">
        <f>-E17</f>
        <v>1558.4043852109123</v>
      </c>
      <c r="F20" s="43">
        <f>-F17</f>
        <v>1615.8882201058564</v>
      </c>
      <c r="G20" s="43">
        <f>-G17</f>
        <v>1688.6491065926671</v>
      </c>
    </row>
    <row r="21" spans="2:9" x14ac:dyDescent="0.3">
      <c r="B21" s="32" t="s">
        <v>310</v>
      </c>
      <c r="C21" s="53">
        <f>-'Dep &amp; Capex Schedule'!D13</f>
        <v>-2010.5449280000003</v>
      </c>
      <c r="D21" s="53">
        <f>-'Dep &amp; Capex Schedule'!E13</f>
        <v>-2008.9686607764484</v>
      </c>
      <c r="E21" s="53">
        <f>-'Dep &amp; Capex Schedule'!F13</f>
        <v>-1964.7936721133756</v>
      </c>
      <c r="F21" s="53">
        <f>-'Dep &amp; Capex Schedule'!G13</f>
        <v>-2151.7339660466027</v>
      </c>
      <c r="G21" s="53">
        <f>-'Dep &amp; Capex Schedule'!H13</f>
        <v>-2345.4491956748629</v>
      </c>
    </row>
    <row r="22" spans="2:9" x14ac:dyDescent="0.3">
      <c r="B22" s="32" t="s">
        <v>311</v>
      </c>
      <c r="C22" s="53">
        <f>'Working Capital Schedule'!D18</f>
        <v>-792.55391580230298</v>
      </c>
      <c r="D22" s="53">
        <f>'Working Capital Schedule'!E18</f>
        <v>-676.33827128453231</v>
      </c>
      <c r="E22" s="53">
        <f>'Working Capital Schedule'!F18</f>
        <v>-662.8728320819182</v>
      </c>
      <c r="F22" s="53">
        <f>'Working Capital Schedule'!G18</f>
        <v>-681.51603079404231</v>
      </c>
      <c r="G22" s="53">
        <f>'Working Capital Schedule'!H18</f>
        <v>-685.7893917420497</v>
      </c>
      <c r="I22" s="7" t="s">
        <v>312</v>
      </c>
    </row>
    <row r="23" spans="2:9" ht="22.8" x14ac:dyDescent="0.3">
      <c r="B23" s="83" t="s">
        <v>313</v>
      </c>
      <c r="C23" s="76">
        <f>C19+C20+C21+C22</f>
        <v>2956.6760099092971</v>
      </c>
      <c r="D23" s="76">
        <f>D19+D20+D21+D22</f>
        <v>3816.162411393103</v>
      </c>
      <c r="E23" s="76">
        <f>E19+E20+E21+E22</f>
        <v>4644.896565651421</v>
      </c>
      <c r="F23" s="76">
        <f>F19+F20+F21+F22</f>
        <v>5186.2778136998204</v>
      </c>
      <c r="G23" s="76">
        <f>G19+G20+G21+G22</f>
        <v>5820.2910750826377</v>
      </c>
      <c r="H23" s="87"/>
      <c r="I23" s="111" t="s">
        <v>467</v>
      </c>
    </row>
    <row r="24" spans="2:9" x14ac:dyDescent="0.3">
      <c r="B24" s="32" t="s">
        <v>314</v>
      </c>
      <c r="C24" s="60">
        <v>0.5</v>
      </c>
      <c r="D24" s="60">
        <v>1.5</v>
      </c>
      <c r="E24" s="60">
        <v>2.5</v>
      </c>
      <c r="F24" s="60">
        <v>3.5</v>
      </c>
      <c r="G24" s="60">
        <v>4.5</v>
      </c>
      <c r="I24" s="7" t="s">
        <v>315</v>
      </c>
    </row>
    <row r="25" spans="2:9" x14ac:dyDescent="0.3">
      <c r="B25" s="32" t="s">
        <v>316</v>
      </c>
      <c r="C25" s="61">
        <f>1/(1+$C$12)^C24</f>
        <v>0.94699953231365464</v>
      </c>
      <c r="D25" s="61">
        <f>1/(1+$C$12)^D24</f>
        <v>0.84927686472465058</v>
      </c>
      <c r="E25" s="61">
        <f>1/(1+$C$12)^E24</f>
        <v>0.76163838348933943</v>
      </c>
      <c r="F25" s="61">
        <f>1/(1+$C$12)^F24</f>
        <v>0.68304348240114787</v>
      </c>
      <c r="G25" s="61">
        <f>1/(1+$C$12)^G24</f>
        <v>0.61255893737033218</v>
      </c>
    </row>
    <row r="26" spans="2:9" x14ac:dyDescent="0.3">
      <c r="B26" s="50" t="s">
        <v>317</v>
      </c>
      <c r="C26" s="41">
        <f>C23*C25</f>
        <v>2799.9707985871069</v>
      </c>
      <c r="D26" s="41">
        <f>D23*D25</f>
        <v>3240.9784480279968</v>
      </c>
      <c r="E26" s="41">
        <f>E23*E25</f>
        <v>3537.7315117379326</v>
      </c>
      <c r="F26" s="41">
        <f>F23*F25</f>
        <v>3542.4532585693369</v>
      </c>
      <c r="G26" s="41">
        <f>G23*G25</f>
        <v>3565.2713161386487</v>
      </c>
    </row>
    <row r="28" spans="2:9" x14ac:dyDescent="0.3">
      <c r="B28" s="32" t="s">
        <v>318</v>
      </c>
      <c r="C28" s="43">
        <f>SUM(C26:G26)</f>
        <v>16686.405333061022</v>
      </c>
    </row>
    <row r="29" spans="2:9" x14ac:dyDescent="0.3">
      <c r="B29" s="32" t="s">
        <v>319</v>
      </c>
      <c r="C29" s="54">
        <f>Assumptions!C36</f>
        <v>4.4999999999999998E-2</v>
      </c>
      <c r="I29" s="7" t="s">
        <v>320</v>
      </c>
    </row>
    <row r="30" spans="2:9" x14ac:dyDescent="0.3">
      <c r="B30" s="32" t="s">
        <v>321</v>
      </c>
      <c r="C30" s="43">
        <f>G23*(1+C29)/($C$12-C29)</f>
        <v>86807.111611752727</v>
      </c>
      <c r="I30" s="7" t="s">
        <v>322</v>
      </c>
    </row>
    <row r="31" spans="2:9" ht="22.8" x14ac:dyDescent="0.3">
      <c r="B31" s="32" t="s">
        <v>323</v>
      </c>
      <c r="C31" s="43">
        <f>C30*G25</f>
        <v>53174.472045083072</v>
      </c>
      <c r="I31" s="111" t="s">
        <v>474</v>
      </c>
    </row>
    <row r="32" spans="2:9" x14ac:dyDescent="0.3">
      <c r="B32" s="83" t="s">
        <v>324</v>
      </c>
      <c r="C32" s="76">
        <f>C28+C31</f>
        <v>69860.877378144098</v>
      </c>
      <c r="D32" s="87"/>
      <c r="E32" s="87"/>
      <c r="F32" s="87"/>
      <c r="G32" s="87"/>
      <c r="H32" s="87"/>
    </row>
    <row r="33" spans="2:9" x14ac:dyDescent="0.3">
      <c r="B33" s="32" t="s">
        <v>325</v>
      </c>
      <c r="C33" s="53">
        <f>'Balance Sheet'!C10+'Balance Sheet'!C7</f>
        <v>8135.8</v>
      </c>
      <c r="I33" s="7" t="s">
        <v>429</v>
      </c>
    </row>
    <row r="34" spans="2:9" x14ac:dyDescent="0.3">
      <c r="B34" s="32" t="s">
        <v>326</v>
      </c>
      <c r="C34" s="43">
        <f>-C6</f>
        <v>-3929</v>
      </c>
    </row>
    <row r="35" spans="2:9" x14ac:dyDescent="0.3">
      <c r="B35" s="83" t="s">
        <v>327</v>
      </c>
      <c r="C35" s="76">
        <f>C32+C33+C34</f>
        <v>74067.677378144101</v>
      </c>
      <c r="D35" s="87"/>
      <c r="E35" s="87"/>
      <c r="F35" s="87"/>
      <c r="G35" s="87"/>
      <c r="H35" s="87"/>
    </row>
    <row r="36" spans="2:9" x14ac:dyDescent="0.3">
      <c r="B36" s="32" t="s">
        <v>124</v>
      </c>
      <c r="C36" s="62">
        <f>Assumptions!C8</f>
        <v>95.92</v>
      </c>
    </row>
    <row r="37" spans="2:9" x14ac:dyDescent="0.3">
      <c r="B37" s="85" t="s">
        <v>328</v>
      </c>
      <c r="C37" s="90">
        <f>C35/C36</f>
        <v>772.18179084804103</v>
      </c>
      <c r="D37" s="91"/>
      <c r="E37" s="91"/>
      <c r="F37" s="91"/>
      <c r="G37" s="91"/>
      <c r="H37" s="91"/>
    </row>
    <row r="38" spans="2:9" x14ac:dyDescent="0.3">
      <c r="B38" s="32" t="s">
        <v>329</v>
      </c>
      <c r="C38" s="33">
        <f>Assumptions!C7/C37-1</f>
        <v>2.4033436570860145</v>
      </c>
      <c r="I38" s="7" t="s">
        <v>330</v>
      </c>
    </row>
    <row r="40" spans="2:9" x14ac:dyDescent="0.3">
      <c r="B40" s="102" t="s">
        <v>331</v>
      </c>
    </row>
    <row r="41" spans="2:9" x14ac:dyDescent="0.3">
      <c r="B41" s="102"/>
    </row>
    <row r="42" spans="2:9" x14ac:dyDescent="0.3">
      <c r="B42" s="19" t="s">
        <v>332</v>
      </c>
      <c r="C42" s="20">
        <v>3.5000000000000003E-2</v>
      </c>
      <c r="D42" s="20">
        <v>0.04</v>
      </c>
      <c r="E42" s="20">
        <v>4.4999999999999998E-2</v>
      </c>
      <c r="F42" s="20">
        <v>0.05</v>
      </c>
      <c r="G42" s="20">
        <v>5.5E-2</v>
      </c>
    </row>
    <row r="43" spans="2:9" x14ac:dyDescent="0.3">
      <c r="B43" s="21">
        <v>0.105</v>
      </c>
      <c r="C43" s="22">
        <f>(SUMPRODUCT($C$23:$G$23/(1+$B43)^{0.5,1.5,2.5,3.5,4.5})+$G$23*(1+C$42)/($B43-C$42)/(1+$B43)^4.5+$C$33+$C$34)/$C$36</f>
        <v>794.46237840101719</v>
      </c>
      <c r="D43" s="22">
        <f>(SUMPRODUCT($C$23:$G$23/(1+$B43)^{0.5,1.5,2.5,3.5,4.5})+$G$23*(1+D$42)/($B43-D$42)/(1+$B43)^4.5+$C$33+$C$34)/$C$36</f>
        <v>841.47626646261836</v>
      </c>
      <c r="E43" s="22">
        <f>(SUMPRODUCT($C$23:$G$23/(1+$B43)^{0.5,1.5,2.5,3.5,4.5})+$G$23*(1+E$42)/($B43-E$42)/(1+$B43)^4.5+$C$33+$C$34)/$C$36</f>
        <v>896.32580253448634</v>
      </c>
      <c r="F43" s="22">
        <f>(SUMPRODUCT($C$23:$G$23/(1+$B43)^{0.5,1.5,2.5,3.5,4.5})+$G$23*(1+F$42)/($B43-F$42)/(1+$B43)^4.5+$C$33+$C$34)/$C$36</f>
        <v>961.1479815285121</v>
      </c>
      <c r="G43" s="22">
        <f>(SUMPRODUCT($C$23:$G$23/(1+$B43)^{0.5,1.5,2.5,3.5,4.5})+$G$23*(1+G$42)/($B43-G$42)/(1+$B43)^4.5+$C$33+$C$34)/$C$36</f>
        <v>1038.9345963213432</v>
      </c>
    </row>
    <row r="44" spans="2:9" x14ac:dyDescent="0.3">
      <c r="B44" s="21">
        <v>0.11</v>
      </c>
      <c r="C44" s="22">
        <f>(SUMPRODUCT($C$23:$G$23/(1+$B44)^{0.5,1.5,2.5,3.5,4.5})+$G$23*(1+C$42)/($B44-C$42)/(1+$B44)^4.5+$C$33+$C$34)/$C$36</f>
        <v>743.45582399732962</v>
      </c>
      <c r="D44" s="22">
        <f>(SUMPRODUCT($C$23:$G$23/(1+$B44)^{0.5,1.5,2.5,3.5,4.5})+$G$23*(1+D$42)/($B44-D$42)/(1+$B44)^4.5+$C$33+$C$34)/$C$36</f>
        <v>783.56242057038662</v>
      </c>
      <c r="E44" s="22">
        <f>(SUMPRODUCT($C$23:$G$23/(1+$B44)^{0.5,1.5,2.5,3.5,4.5})+$G$23*(1+E$42)/($B44-E$42)/(1+$B44)^4.5+$C$33+$C$34)/$C$36</f>
        <v>829.83926277006799</v>
      </c>
      <c r="F44" s="22">
        <f>(SUMPRODUCT($C$23:$G$23/(1+$B44)^{0.5,1.5,2.5,3.5,4.5})+$G$23*(1+F$42)/($B44-F$42)/(1+$B44)^4.5+$C$33+$C$34)/$C$36</f>
        <v>883.8289120030297</v>
      </c>
      <c r="G44" s="22">
        <f>(SUMPRODUCT($C$23:$G$23/(1+$B44)^{0.5,1.5,2.5,3.5,4.5})+$G$23*(1+G$42)/($B44-G$42)/(1+$B44)^4.5+$C$33+$C$34)/$C$36</f>
        <v>947.63486109652979</v>
      </c>
    </row>
    <row r="45" spans="2:9" x14ac:dyDescent="0.3">
      <c r="B45" s="21">
        <v>0.115</v>
      </c>
      <c r="C45" s="22">
        <f>(SUMPRODUCT($C$23:$G$23/(1+$B45)^{0.5,1.5,2.5,3.5,4.5})+$G$23*(1+C$42)/($B45-C$42)/(1+$B45)^4.5+$C$33+$C$34)/$C$36</f>
        <v>698.85017850202416</v>
      </c>
      <c r="D45" s="22">
        <f>(SUMPRODUCT($C$23:$G$23/(1+$B45)^{0.5,1.5,2.5,3.5,4.5})+$G$23*(1+D$42)/($B45-D$42)/(1+$B45)^4.5+$C$33+$C$34)/$C$36</f>
        <v>733.39573971530558</v>
      </c>
      <c r="E45" s="22">
        <f>(SUMPRODUCT($C$23:$G$23/(1+$B45)^{0.5,1.5,2.5,3.5,4.5})+$G$23*(1+E$42)/($B45-E$42)/(1+$B45)^4.5+$C$33+$C$34)/$C$36</f>
        <v>772.87638110191278</v>
      </c>
      <c r="F45" s="22">
        <f>(SUMPRODUCT($C$23:$G$23/(1+$B45)^{0.5,1.5,2.5,3.5,4.5})+$G$23*(1+F$42)/($B45-F$42)/(1+$B45)^4.5+$C$33+$C$34)/$C$36</f>
        <v>818.43096731722903</v>
      </c>
      <c r="G45" s="22">
        <f>(SUMPRODUCT($C$23:$G$23/(1+$B45)^{0.5,1.5,2.5,3.5,4.5})+$G$23*(1+G$42)/($B45-G$42)/(1+$B45)^4.5+$C$33+$C$34)/$C$36</f>
        <v>871.57798456843113</v>
      </c>
    </row>
    <row r="46" spans="2:9" x14ac:dyDescent="0.3">
      <c r="B46" s="21">
        <v>0.12</v>
      </c>
      <c r="C46" s="22">
        <f>(SUMPRODUCT($C$23:$G$23/(1+$B46)^{0.5,1.5,2.5,3.5,4.5})+$G$23*(1+C$42)/($B46-C$42)/(1+$B46)^4.5+$C$33+$C$34)/$C$36</f>
        <v>659.5153534221829</v>
      </c>
      <c r="D46" s="22">
        <f>(SUMPRODUCT($C$23:$G$23/(1+$B46)^{0.5,1.5,2.5,3.5,4.5})+$G$23*(1+D$42)/($B46-D$42)/(1+$B46)^4.5+$C$33+$C$34)/$C$36</f>
        <v>689.52311127523524</v>
      </c>
      <c r="E46" s="22">
        <f>(SUMPRODUCT($C$23:$G$23/(1+$B46)^{0.5,1.5,2.5,3.5,4.5})+$G$23*(1+E$42)/($B46-E$42)/(1+$B46)^4.5+$C$33+$C$34)/$C$36</f>
        <v>723.53190350869431</v>
      </c>
      <c r="F46" s="22">
        <f>(SUMPRODUCT($C$23:$G$23/(1+$B46)^{0.5,1.5,2.5,3.5,4.5})+$G$23*(1+F$42)/($B46-F$42)/(1+$B46)^4.5+$C$33+$C$34)/$C$36</f>
        <v>762.3990946326478</v>
      </c>
      <c r="G46" s="22">
        <f>(SUMPRODUCT($C$23:$G$23/(1+$B46)^{0.5,1.5,2.5,3.5,4.5})+$G$23*(1+G$42)/($B46-G$42)/(1+$B46)^4.5+$C$33+$C$34)/$C$36</f>
        <v>807.24585362182461</v>
      </c>
    </row>
    <row r="47" spans="2:9" x14ac:dyDescent="0.3">
      <c r="B47" s="21">
        <v>0.125</v>
      </c>
      <c r="C47" s="22">
        <f>(SUMPRODUCT($C$23:$G$23/(1+$B47)^{0.5,1.5,2.5,3.5,4.5})+$G$23*(1+C$42)/($B47-C$42)/(1+$B47)^4.5+$C$33+$C$34)/$C$36</f>
        <v>624.57240384050158</v>
      </c>
      <c r="D47" s="22">
        <f>(SUMPRODUCT($C$23:$G$23/(1+$B47)^{0.5,1.5,2.5,3.5,4.5})+$G$23*(1+D$42)/($B47-D$42)/(1+$B47)^4.5+$C$33+$C$34)/$C$36</f>
        <v>650.83334429569459</v>
      </c>
      <c r="E47" s="22">
        <f>(SUMPRODUCT($C$23:$G$23/(1+$B47)^{0.5,1.5,2.5,3.5,4.5})+$G$23*(1+E$42)/($B47-E$42)/(1+$B47)^4.5+$C$33+$C$34)/$C$36</f>
        <v>680.37690230778651</v>
      </c>
      <c r="F47" s="22">
        <f>(SUMPRODUCT($C$23:$G$23/(1+$B47)^{0.5,1.5,2.5,3.5,4.5})+$G$23*(1+F$42)/($B47-F$42)/(1+$B47)^4.5+$C$33+$C$34)/$C$36</f>
        <v>713.85960138815744</v>
      </c>
      <c r="G47" s="22">
        <f>(SUMPRODUCT($C$23:$G$23/(1+$B47)^{0.5,1.5,2.5,3.5,4.5})+$G$23*(1+G$42)/($B47-G$42)/(1+$B47)^4.5+$C$33+$C$34)/$C$36</f>
        <v>752.12554319429569</v>
      </c>
    </row>
    <row r="49" spans="2:9" x14ac:dyDescent="0.3">
      <c r="B49" s="36" t="s">
        <v>333</v>
      </c>
    </row>
    <row r="50" spans="2:9" x14ac:dyDescent="0.3">
      <c r="B50" s="36"/>
    </row>
    <row r="51" spans="2:9" x14ac:dyDescent="0.3">
      <c r="B51" s="50" t="s">
        <v>334</v>
      </c>
      <c r="C51" s="46" t="s">
        <v>370</v>
      </c>
      <c r="D51" s="46" t="s">
        <v>72</v>
      </c>
      <c r="E51" s="46"/>
      <c r="F51" s="46"/>
      <c r="G51" s="46"/>
      <c r="I51" s="7" t="s">
        <v>335</v>
      </c>
    </row>
    <row r="52" spans="2:9" x14ac:dyDescent="0.3">
      <c r="B52" s="32" t="s">
        <v>336</v>
      </c>
      <c r="C52" s="64">
        <v>51.6</v>
      </c>
      <c r="D52" s="34">
        <v>0.26300000000000001</v>
      </c>
    </row>
    <row r="53" spans="2:9" x14ac:dyDescent="0.3">
      <c r="B53" s="32" t="s">
        <v>337</v>
      </c>
      <c r="C53" s="64">
        <v>50.9</v>
      </c>
      <c r="D53" s="34">
        <v>0.216</v>
      </c>
    </row>
    <row r="54" spans="2:9" x14ac:dyDescent="0.3">
      <c r="B54" s="32" t="s">
        <v>338</v>
      </c>
      <c r="C54" s="64">
        <v>25.2</v>
      </c>
      <c r="D54" s="34">
        <v>0.12</v>
      </c>
    </row>
    <row r="56" spans="2:9" x14ac:dyDescent="0.3">
      <c r="B56" s="32" t="s">
        <v>339</v>
      </c>
      <c r="C56" s="52">
        <f>'Income Statement'!D16</f>
        <v>49.474311599912419</v>
      </c>
      <c r="I56" s="7" t="s">
        <v>340</v>
      </c>
    </row>
    <row r="57" spans="2:9" ht="34.200000000000003" x14ac:dyDescent="0.3">
      <c r="B57" s="32" t="s">
        <v>362</v>
      </c>
      <c r="C57" s="64">
        <v>48</v>
      </c>
      <c r="I57" s="111" t="s">
        <v>475</v>
      </c>
    </row>
    <row r="58" spans="2:9" x14ac:dyDescent="0.3">
      <c r="B58" s="32" t="s">
        <v>371</v>
      </c>
      <c r="C58" s="65">
        <f>40*C56</f>
        <v>1978.9724639964968</v>
      </c>
      <c r="I58" s="7" t="s">
        <v>341</v>
      </c>
    </row>
    <row r="59" spans="2:9" x14ac:dyDescent="0.3">
      <c r="B59" s="50" t="s">
        <v>372</v>
      </c>
      <c r="C59" s="63">
        <f>C57*C56</f>
        <v>2374.766956795796</v>
      </c>
      <c r="I59" s="7" t="s">
        <v>342</v>
      </c>
    </row>
    <row r="60" spans="2:9" x14ac:dyDescent="0.3">
      <c r="B60" s="32" t="s">
        <v>373</v>
      </c>
      <c r="C60" s="65">
        <f>55*C56</f>
        <v>2721.0871379951832</v>
      </c>
      <c r="I60" s="7" t="s">
        <v>343</v>
      </c>
    </row>
    <row r="62" spans="2:9" x14ac:dyDescent="0.3">
      <c r="B62" s="36" t="s">
        <v>344</v>
      </c>
    </row>
    <row r="63" spans="2:9" x14ac:dyDescent="0.3">
      <c r="B63" s="36"/>
    </row>
    <row r="64" spans="2:9" x14ac:dyDescent="0.3">
      <c r="B64" s="32" t="s">
        <v>345</v>
      </c>
      <c r="C64" s="65">
        <f>C37</f>
        <v>772.18179084804103</v>
      </c>
      <c r="I64" s="7" t="s">
        <v>346</v>
      </c>
    </row>
    <row r="65" spans="1:9" x14ac:dyDescent="0.3">
      <c r="B65" s="32" t="s">
        <v>374</v>
      </c>
      <c r="C65" s="65">
        <f>C58</f>
        <v>1978.9724639964968</v>
      </c>
    </row>
    <row r="66" spans="1:9" x14ac:dyDescent="0.3">
      <c r="B66" s="32" t="s">
        <v>375</v>
      </c>
      <c r="C66" s="65">
        <f>C59</f>
        <v>2374.766956795796</v>
      </c>
      <c r="I66" s="7" t="s">
        <v>347</v>
      </c>
    </row>
    <row r="67" spans="1:9" x14ac:dyDescent="0.3">
      <c r="B67" s="32" t="s">
        <v>376</v>
      </c>
      <c r="C67" s="65">
        <f>C60</f>
        <v>2721.0871379951832</v>
      </c>
    </row>
    <row r="68" spans="1:9" x14ac:dyDescent="0.3">
      <c r="B68" s="32" t="s">
        <v>348</v>
      </c>
      <c r="C68" s="66">
        <v>3180</v>
      </c>
      <c r="I68" s="7" t="s">
        <v>377</v>
      </c>
    </row>
    <row r="70" spans="1:9" x14ac:dyDescent="0.3">
      <c r="B70" s="83" t="s">
        <v>349</v>
      </c>
      <c r="C70" s="89">
        <f>C59</f>
        <v>2374.766956795796</v>
      </c>
      <c r="D70" s="87"/>
      <c r="E70" s="87"/>
      <c r="F70" s="87"/>
      <c r="G70" s="87"/>
      <c r="H70" s="87"/>
      <c r="I70" s="7" t="s">
        <v>350</v>
      </c>
    </row>
    <row r="71" spans="1:9" x14ac:dyDescent="0.3">
      <c r="B71" s="32" t="s">
        <v>123</v>
      </c>
      <c r="C71" s="67">
        <f>Assumptions!C7</f>
        <v>2628</v>
      </c>
    </row>
    <row r="72" spans="1:9" x14ac:dyDescent="0.3">
      <c r="B72" s="50" t="s">
        <v>351</v>
      </c>
      <c r="C72" s="68">
        <f>C71/C70-1</f>
        <v>0.10663490262888109</v>
      </c>
      <c r="I72" s="7" t="s">
        <v>352</v>
      </c>
    </row>
    <row r="73" spans="1:9" x14ac:dyDescent="0.3">
      <c r="B73" s="50" t="s">
        <v>353</v>
      </c>
      <c r="C73" s="69" t="str">
        <f>IF(C72&gt;0.1,"OVERVALUED",IF(C72&lt;-0.1,"UNDERVALUED","FAIRLY VALUED"))</f>
        <v>OVERVALUED</v>
      </c>
    </row>
    <row r="75" spans="1:9" x14ac:dyDescent="0.3">
      <c r="B75" s="7"/>
    </row>
    <row r="76" spans="1:9" x14ac:dyDescent="0.3">
      <c r="B76" s="7"/>
    </row>
    <row r="77" spans="1:9" x14ac:dyDescent="0.3">
      <c r="B77" s="7"/>
    </row>
    <row r="79" spans="1:9" x14ac:dyDescent="0.3">
      <c r="A79" s="10"/>
      <c r="B79" s="29" t="s">
        <v>440</v>
      </c>
      <c r="C79" s="10"/>
      <c r="D79" s="10"/>
      <c r="E79" s="10"/>
      <c r="F79" s="10"/>
      <c r="G79" s="10"/>
      <c r="H79" s="10"/>
      <c r="I79" s="10"/>
    </row>
    <row r="80" spans="1:9" x14ac:dyDescent="0.3">
      <c r="B80" s="13" t="s">
        <v>441</v>
      </c>
      <c r="C80" s="112" t="s">
        <v>442</v>
      </c>
      <c r="D80" s="112" t="s">
        <v>443</v>
      </c>
      <c r="E80" s="112" t="s">
        <v>444</v>
      </c>
      <c r="F80" s="112" t="s">
        <v>370</v>
      </c>
      <c r="G80" s="112" t="s">
        <v>445</v>
      </c>
      <c r="H80" s="112" t="s">
        <v>446</v>
      </c>
      <c r="I80" s="13" t="s">
        <v>447</v>
      </c>
    </row>
    <row r="81" spans="2:9" ht="22.8" x14ac:dyDescent="0.3">
      <c r="B81" s="6" t="s">
        <v>448</v>
      </c>
      <c r="C81" s="113">
        <v>0.85</v>
      </c>
      <c r="D81" s="114">
        <v>0.04</v>
      </c>
      <c r="E81" s="115">
        <f>(SUMPRODUCT($C$23:$G$23/(1+$C$12)^{0.5,1.5,2.5,3.5,4.5})*C81+$G$23*C81*(1+D81)/($C$12-D81)/(1+$C$12)^4.5+$C$33+$C$34)/$C$36</f>
        <v>629.44234036768967</v>
      </c>
      <c r="F81" s="116">
        <v>40</v>
      </c>
      <c r="G81" s="113">
        <v>0.9</v>
      </c>
      <c r="H81" s="115">
        <f>F81*'Income Statement'!D16*G81</f>
        <v>1781.0752175968471</v>
      </c>
      <c r="I81" s="111" t="s">
        <v>449</v>
      </c>
    </row>
    <row r="82" spans="2:9" x14ac:dyDescent="0.3">
      <c r="B82" s="13" t="s">
        <v>450</v>
      </c>
      <c r="C82" s="113">
        <v>1</v>
      </c>
      <c r="D82" s="117">
        <f>C29</f>
        <v>4.4999999999999998E-2</v>
      </c>
      <c r="E82" s="118">
        <f>(SUMPRODUCT($C$23:$G$23/(1+$C$12)^{0.5,1.5,2.5,3.5,4.5})*C82+$G$23*C82*(1+D82)/($C$12-D82)/(1+$C$12)^4.5+$C$33+$C$34)/$C$36</f>
        <v>772.18179084804103</v>
      </c>
      <c r="F82" s="119">
        <f>C57</f>
        <v>48</v>
      </c>
      <c r="G82" s="113">
        <v>1</v>
      </c>
      <c r="H82" s="118">
        <f>F82*'Income Statement'!D16*G82</f>
        <v>2374.766956795796</v>
      </c>
      <c r="I82" s="111" t="s">
        <v>451</v>
      </c>
    </row>
    <row r="83" spans="2:9" ht="22.8" x14ac:dyDescent="0.3">
      <c r="B83" s="6" t="s">
        <v>452</v>
      </c>
      <c r="C83" s="113">
        <v>1.1000000000000001</v>
      </c>
      <c r="D83" s="114">
        <v>0.05</v>
      </c>
      <c r="E83" s="115">
        <f>(SUMPRODUCT($C$23:$G$23/(1+$C$12)^{0.5,1.5,2.5,3.5,4.5})*C83+$G$23*C83*(1+D83)/($C$12-D83)/(1+$C$12)^4.5+$C$33+$C$34)/$C$36</f>
        <v>895.01636576174451</v>
      </c>
      <c r="F83" s="116">
        <v>55</v>
      </c>
      <c r="G83" s="113">
        <v>1.05</v>
      </c>
      <c r="H83" s="115">
        <f>F83*'Income Statement'!D16*G83</f>
        <v>2857.1414948949423</v>
      </c>
      <c r="I83" s="111" t="s">
        <v>453</v>
      </c>
    </row>
    <row r="84" spans="2:9" x14ac:dyDescent="0.3">
      <c r="B84" s="7" t="s">
        <v>454</v>
      </c>
    </row>
  </sheetData>
  <mergeCells count="1">
    <mergeCell ref="A1:B1"/>
  </mergeCells>
  <pageMargins left="0.25" right="0.25" top="0.25" bottom="0.25" header="0.3" footer="0.3"/>
  <pageSetup scale="5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6C63-E739-4A08-B263-F7484F20BBD0}">
  <sheetPr>
    <pageSetUpPr fitToPage="1"/>
  </sheetPr>
  <dimension ref="A1:D28"/>
  <sheetViews>
    <sheetView tabSelected="1" workbookViewId="0">
      <pane ySplit="2" topLeftCell="A3" activePane="bottomLeft" state="frozenSplit"/>
      <selection pane="bottomLeft" sqref="A1:B1"/>
    </sheetView>
  </sheetViews>
  <sheetFormatPr defaultRowHeight="14.4" x14ac:dyDescent="0.3"/>
  <cols>
    <col min="1" max="1" width="4.77734375" customWidth="1"/>
    <col min="2" max="2" width="42.77734375" customWidth="1"/>
    <col min="3" max="3" width="16.77734375" customWidth="1"/>
    <col min="4" max="4" width="110.77734375" customWidth="1"/>
  </cols>
  <sheetData>
    <row r="1" spans="1:4" ht="21" customHeight="1" x14ac:dyDescent="0.3">
      <c r="A1" s="123" t="s">
        <v>424</v>
      </c>
      <c r="B1" s="124"/>
      <c r="C1" s="95"/>
      <c r="D1" s="95"/>
    </row>
    <row r="2" spans="1:4" x14ac:dyDescent="0.3">
      <c r="A2" s="106"/>
      <c r="B2" s="100" t="s">
        <v>408</v>
      </c>
      <c r="C2" s="95"/>
      <c r="D2" s="95"/>
    </row>
    <row r="4" spans="1:4" x14ac:dyDescent="0.3">
      <c r="A4" s="108" t="s">
        <v>378</v>
      </c>
      <c r="B4" s="109"/>
      <c r="C4" s="109"/>
      <c r="D4" s="109"/>
    </row>
    <row r="5" spans="1:4" x14ac:dyDescent="0.3">
      <c r="B5" s="32" t="s">
        <v>123</v>
      </c>
      <c r="C5" s="67">
        <f>Assumptions!C7</f>
        <v>2628</v>
      </c>
    </row>
    <row r="6" spans="1:4" x14ac:dyDescent="0.3">
      <c r="B6" s="32" t="s">
        <v>379</v>
      </c>
      <c r="C6" s="67">
        <f>Valuation!C70</f>
        <v>2374.766956795796</v>
      </c>
    </row>
    <row r="7" spans="1:4" x14ac:dyDescent="0.3">
      <c r="B7" s="32" t="s">
        <v>380</v>
      </c>
      <c r="C7" s="67">
        <f>Valuation!C37</f>
        <v>772.18179084804103</v>
      </c>
    </row>
    <row r="8" spans="1:4" x14ac:dyDescent="0.3">
      <c r="B8" s="32" t="s">
        <v>381</v>
      </c>
      <c r="C8" s="71" t="str">
        <f>Valuation!C73</f>
        <v>OVERVALUED</v>
      </c>
    </row>
    <row r="9" spans="1:4" x14ac:dyDescent="0.3">
      <c r="B9" s="32" t="s">
        <v>382</v>
      </c>
      <c r="C9" s="33">
        <f>C6/C5-1</f>
        <v>-9.6359605481051713E-2</v>
      </c>
    </row>
    <row r="10" spans="1:4" ht="27.6" x14ac:dyDescent="0.3">
      <c r="B10" s="25" t="s">
        <v>383</v>
      </c>
      <c r="C10" s="26" t="str">
        <f>IF(C9&gt;0.15,"BUY",IF(C9&gt;=-0.12,"HOLD","SELL"))</f>
        <v>HOLD</v>
      </c>
      <c r="D10" s="72" t="s">
        <v>470</v>
      </c>
    </row>
    <row r="12" spans="1:4" x14ac:dyDescent="0.3">
      <c r="A12" s="108" t="s">
        <v>384</v>
      </c>
      <c r="B12" s="109"/>
      <c r="C12" s="109"/>
      <c r="D12" s="109"/>
    </row>
    <row r="13" spans="1:4" ht="27.6" x14ac:dyDescent="0.3">
      <c r="B13" s="73" t="s">
        <v>385</v>
      </c>
      <c r="C13" s="27" t="s">
        <v>386</v>
      </c>
      <c r="D13" s="74" t="s">
        <v>472</v>
      </c>
    </row>
    <row r="14" spans="1:4" ht="27.6" x14ac:dyDescent="0.3">
      <c r="B14" s="73" t="s">
        <v>387</v>
      </c>
      <c r="C14" s="122" t="s">
        <v>388</v>
      </c>
      <c r="D14" s="74" t="s">
        <v>389</v>
      </c>
    </row>
    <row r="15" spans="1:4" ht="27.6" x14ac:dyDescent="0.3">
      <c r="B15" s="73" t="s">
        <v>390</v>
      </c>
      <c r="C15" s="27" t="s">
        <v>391</v>
      </c>
      <c r="D15" s="74" t="s">
        <v>392</v>
      </c>
    </row>
    <row r="16" spans="1:4" ht="41.4" x14ac:dyDescent="0.3">
      <c r="B16" s="73" t="s">
        <v>24</v>
      </c>
      <c r="C16" s="27" t="s">
        <v>393</v>
      </c>
      <c r="D16" s="74" t="s">
        <v>473</v>
      </c>
    </row>
    <row r="18" spans="1:4" x14ac:dyDescent="0.3">
      <c r="A18" s="108" t="s">
        <v>394</v>
      </c>
      <c r="B18" s="109"/>
      <c r="C18" s="109"/>
      <c r="D18" s="109"/>
    </row>
    <row r="19" spans="1:4" ht="41.4" x14ac:dyDescent="0.3">
      <c r="B19" s="73" t="s">
        <v>395</v>
      </c>
      <c r="D19" s="74" t="s">
        <v>396</v>
      </c>
    </row>
    <row r="20" spans="1:4" ht="41.4" x14ac:dyDescent="0.3">
      <c r="B20" s="73" t="s">
        <v>397</v>
      </c>
      <c r="D20" s="74" t="s">
        <v>398</v>
      </c>
    </row>
    <row r="22" spans="1:4" x14ac:dyDescent="0.3">
      <c r="A22" s="29" t="s">
        <v>399</v>
      </c>
      <c r="B22" s="10"/>
      <c r="C22" s="10"/>
      <c r="D22" s="10"/>
    </row>
    <row r="23" spans="1:4" ht="27.6" x14ac:dyDescent="0.3">
      <c r="B23" s="73" t="s">
        <v>400</v>
      </c>
      <c r="D23" s="74" t="s">
        <v>481</v>
      </c>
    </row>
    <row r="24" spans="1:4" ht="27.6" x14ac:dyDescent="0.3">
      <c r="B24" s="73" t="s">
        <v>401</v>
      </c>
      <c r="D24" s="74" t="s">
        <v>471</v>
      </c>
    </row>
    <row r="25" spans="1:4" x14ac:dyDescent="0.3">
      <c r="B25" s="73" t="s">
        <v>402</v>
      </c>
      <c r="D25" s="74" t="s">
        <v>403</v>
      </c>
    </row>
    <row r="26" spans="1:4" ht="27.6" x14ac:dyDescent="0.3">
      <c r="B26" s="73" t="s">
        <v>404</v>
      </c>
      <c r="D26" s="74" t="s">
        <v>405</v>
      </c>
    </row>
    <row r="28" spans="1:4" x14ac:dyDescent="0.3">
      <c r="B28" s="102" t="s">
        <v>406</v>
      </c>
    </row>
  </sheetData>
  <mergeCells count="1">
    <mergeCell ref="A1:B1"/>
  </mergeCells>
  <pageMargins left="0.25" right="0.25" top="0.25" bottom="0.25" header="0.3" footer="0.3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Historical Data</vt:lpstr>
      <vt:lpstr>Ratio Analysis</vt:lpstr>
      <vt:lpstr>Assumptions</vt:lpstr>
      <vt:lpstr>Working Capital Schedule</vt:lpstr>
      <vt:lpstr>Dep &amp; Capex Schedule</vt:lpstr>
      <vt:lpstr>Debt Schedule</vt:lpstr>
      <vt:lpstr>Income Statement</vt:lpstr>
      <vt:lpstr>Balance Sheet</vt:lpstr>
      <vt:lpstr>Cash Flow</vt:lpstr>
      <vt:lpstr>Valuation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cp:lastPrinted>2026-08-20T12:00:16Z</cp:lastPrinted>
  <dcterms:created xsi:type="dcterms:W3CDTF">2026-08-18T16:09:26Z</dcterms:created>
  <dcterms:modified xsi:type="dcterms:W3CDTF">2026-08-27T14:53:36Z</dcterms:modified>
</cp:coreProperties>
</file>